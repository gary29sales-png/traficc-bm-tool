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aficc-my.sharepoint.com/personal/gary_traficc_co_za/Documents/Desktop/Claude/Product Dictionary/"/>
    </mc:Choice>
  </mc:AlternateContent>
  <xr:revisionPtr revIDLastSave="0" documentId="8_{EA4C047A-EA07-41CC-8C30-BC9793B6A0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Input Parameters" sheetId="3" r:id="rId1"/>
    <sheet name="Loan Payment Schedule" sheetId="4" state="hidden" r:id="rId2"/>
    <sheet name="Loan Payment Summary" sheetId="5" r:id="rId3"/>
    <sheet name="Shortfall Illustration" sheetId="6" r:id="rId4"/>
    <sheet name="Shortfall Graph" sheetId="8" r:id="rId5"/>
    <sheet name="Depreciation Parameters" sheetId="7" state="hidden" r:id="rId6"/>
    <sheet name="template" sheetId="13" state="hidden" r:id="rId7"/>
  </sheets>
  <definedNames>
    <definedName name="_xlnm._FilterDatabase" localSheetId="3" hidden="1">'Shortfall Illustration'!$A$3:$N$3</definedName>
    <definedName name="_xlnm.Print_Area" localSheetId="4">'Shortfall Graph'!$A$1:$V$65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3" l="1"/>
  <c r="H6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5" i="6"/>
  <c r="H4" i="6"/>
  <c r="O88" i="6"/>
  <c r="O89" i="6"/>
  <c r="O90" i="6"/>
  <c r="O91" i="6"/>
  <c r="O92" i="6"/>
  <c r="O93" i="6"/>
  <c r="O94" i="6"/>
  <c r="O95" i="6"/>
  <c r="O96" i="6"/>
  <c r="O97" i="6"/>
  <c r="O98" i="6"/>
  <c r="O99" i="6"/>
  <c r="J99" i="6"/>
  <c r="J88" i="6"/>
  <c r="J89" i="6"/>
  <c r="J90" i="6" s="1"/>
  <c r="J91" i="6" s="1"/>
  <c r="J92" i="6" s="1"/>
  <c r="J93" i="6" s="1"/>
  <c r="J94" i="6" s="1"/>
  <c r="J95" i="6" s="1"/>
  <c r="J96" i="6" s="1"/>
  <c r="J97" i="6" s="1"/>
  <c r="J98" i="6" s="1"/>
  <c r="B88" i="6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F88" i="4"/>
  <c r="F89" i="4"/>
  <c r="F90" i="4"/>
  <c r="F91" i="4"/>
  <c r="F92" i="4"/>
  <c r="F93" i="4"/>
  <c r="F94" i="4"/>
  <c r="F95" i="4"/>
  <c r="F96" i="4"/>
  <c r="F97" i="4"/>
  <c r="F98" i="4"/>
  <c r="F99" i="4"/>
  <c r="B89" i="4"/>
  <c r="B90" i="4"/>
  <c r="B91" i="4"/>
  <c r="B92" i="4"/>
  <c r="B93" i="4" s="1"/>
  <c r="B94" i="4" s="1"/>
  <c r="B95" i="4" s="1"/>
  <c r="B96" i="4" s="1"/>
  <c r="B97" i="4" s="1"/>
  <c r="B98" i="4" s="1"/>
  <c r="B99" i="4" s="1"/>
  <c r="B88" i="4"/>
  <c r="B87" i="4"/>
  <c r="K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4" i="6"/>
  <c r="D6" i="13"/>
  <c r="D7" i="13"/>
  <c r="D8" i="13"/>
  <c r="D9" i="13"/>
  <c r="D10" i="13"/>
  <c r="D11" i="13"/>
  <c r="D12" i="13"/>
  <c r="D13" i="13"/>
  <c r="D14" i="13"/>
  <c r="D15" i="13"/>
  <c r="G14" i="13"/>
  <c r="G11" i="13" l="1"/>
  <c r="G12" i="13" l="1"/>
  <c r="G15" i="13"/>
  <c r="D3" i="13"/>
  <c r="B30" i="3" s="1"/>
  <c r="AA4" i="13" s="1"/>
  <c r="D4" i="13"/>
  <c r="D5" i="13"/>
  <c r="D2" i="13"/>
  <c r="G3" i="13"/>
  <c r="G4" i="13" s="1"/>
  <c r="G5" i="13" l="1"/>
  <c r="G6" i="13" s="1"/>
  <c r="G7" i="13" s="1"/>
  <c r="G8" i="13" s="1"/>
  <c r="G9" i="13"/>
  <c r="G13" i="13" s="1"/>
  <c r="F10" i="4" l="1"/>
  <c r="B10" i="3"/>
  <c r="B13" i="3" s="1"/>
  <c r="F87" i="4"/>
  <c r="F86" i="4"/>
  <c r="F85" i="4"/>
  <c r="F84" i="4"/>
  <c r="F83" i="4"/>
  <c r="F82" i="4"/>
  <c r="F81" i="4"/>
  <c r="F80" i="4"/>
  <c r="F79" i="4"/>
  <c r="F78" i="4"/>
  <c r="F77" i="4"/>
  <c r="F76" i="4"/>
  <c r="A4" i="6"/>
  <c r="AA3" i="13"/>
  <c r="AA2" i="13"/>
  <c r="B34" i="3" a="1"/>
  <c r="B34" i="3" s="1"/>
  <c r="J4" i="6" s="1"/>
  <c r="J5" i="6" s="1"/>
  <c r="D3" i="7"/>
  <c r="C3" i="7"/>
  <c r="B3" i="7"/>
  <c r="A5" i="6" l="1"/>
  <c r="K5" i="6" s="1" a="1"/>
  <c r="K5" i="6" s="1"/>
  <c r="J6" i="6"/>
  <c r="J7" i="6" s="1"/>
  <c r="J8" i="6" s="1"/>
  <c r="J9" i="6" s="1"/>
  <c r="J10" i="6" s="1"/>
  <c r="J11" i="6" s="1"/>
  <c r="J12" i="6" s="1"/>
  <c r="J13" i="6" s="1"/>
  <c r="J14" i="6" s="1"/>
  <c r="J15" i="6" s="1"/>
  <c r="C21" i="3"/>
  <c r="J28" i="6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27" i="6"/>
  <c r="J17" i="6"/>
  <c r="J16" i="6"/>
  <c r="J26" i="6"/>
  <c r="J40" i="6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18" i="6"/>
  <c r="J25" i="6"/>
  <c r="J52" i="6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24" i="6"/>
  <c r="J64" i="6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22" i="6"/>
  <c r="J19" i="6"/>
  <c r="J23" i="6"/>
  <c r="J21" i="6"/>
  <c r="J20" i="6"/>
  <c r="F5" i="6"/>
  <c r="F4" i="6"/>
  <c r="B4" i="6"/>
  <c r="F5" i="4"/>
  <c r="F6" i="4"/>
  <c r="F7" i="4"/>
  <c r="F8" i="4"/>
  <c r="F9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4" i="4"/>
  <c r="A6" i="6" l="1"/>
  <c r="K6" i="6" a="1"/>
  <c r="K6" i="6" s="1"/>
  <c r="K7" i="6" s="1" a="1"/>
  <c r="K7" i="6" s="1"/>
  <c r="B5" i="6"/>
  <c r="L4" i="6"/>
  <c r="M4" i="6" s="1"/>
  <c r="F6" i="6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C4" i="6"/>
  <c r="A7" i="6" l="1"/>
  <c r="B6" i="6"/>
  <c r="E4" i="6"/>
  <c r="B21" i="3"/>
  <c r="B24" i="3" s="1"/>
  <c r="B18" i="3"/>
  <c r="C4" i="4"/>
  <c r="E4" i="4" s="1"/>
  <c r="A8" i="6" l="1"/>
  <c r="F7" i="6"/>
  <c r="D96" i="4"/>
  <c r="D97" i="4"/>
  <c r="D98" i="4"/>
  <c r="D99" i="4"/>
  <c r="D95" i="4"/>
  <c r="D89" i="4"/>
  <c r="D90" i="4"/>
  <c r="D91" i="4"/>
  <c r="D92" i="4"/>
  <c r="D93" i="4"/>
  <c r="D94" i="4"/>
  <c r="D88" i="4"/>
  <c r="L5" i="6"/>
  <c r="B7" i="6"/>
  <c r="B8" i="6" s="1"/>
  <c r="D4" i="6"/>
  <c r="D86" i="4"/>
  <c r="D80" i="4"/>
  <c r="D85" i="4"/>
  <c r="D79" i="4"/>
  <c r="D84" i="4"/>
  <c r="D78" i="4"/>
  <c r="D83" i="4"/>
  <c r="D77" i="4"/>
  <c r="D82" i="4"/>
  <c r="D76" i="4"/>
  <c r="D87" i="4"/>
  <c r="D81" i="4"/>
  <c r="D8" i="6"/>
  <c r="D6" i="6"/>
  <c r="D5" i="6"/>
  <c r="D7" i="6"/>
  <c r="D6" i="4"/>
  <c r="D10" i="4"/>
  <c r="D14" i="4"/>
  <c r="D18" i="4"/>
  <c r="D22" i="4"/>
  <c r="D26" i="4"/>
  <c r="D30" i="4"/>
  <c r="D34" i="4"/>
  <c r="D38" i="4"/>
  <c r="D42" i="4"/>
  <c r="D46" i="4"/>
  <c r="D50" i="4"/>
  <c r="D54" i="4"/>
  <c r="D58" i="4"/>
  <c r="D62" i="4"/>
  <c r="D66" i="4"/>
  <c r="D70" i="4"/>
  <c r="D74" i="4"/>
  <c r="D7" i="4"/>
  <c r="D11" i="4"/>
  <c r="D15" i="4"/>
  <c r="D19" i="4"/>
  <c r="D23" i="4"/>
  <c r="D27" i="4"/>
  <c r="D31" i="4"/>
  <c r="D35" i="4"/>
  <c r="D39" i="4"/>
  <c r="D43" i="4"/>
  <c r="D47" i="4"/>
  <c r="D51" i="4"/>
  <c r="D55" i="4"/>
  <c r="D59" i="4"/>
  <c r="D63" i="4"/>
  <c r="D67" i="4"/>
  <c r="D71" i="4"/>
  <c r="D75" i="4"/>
  <c r="D8" i="4"/>
  <c r="D12" i="4"/>
  <c r="D16" i="4"/>
  <c r="D20" i="4"/>
  <c r="D24" i="4"/>
  <c r="D28" i="4"/>
  <c r="D32" i="4"/>
  <c r="D36" i="4"/>
  <c r="D40" i="4"/>
  <c r="D44" i="4"/>
  <c r="D48" i="4"/>
  <c r="D52" i="4"/>
  <c r="D56" i="4"/>
  <c r="D60" i="4"/>
  <c r="D64" i="4"/>
  <c r="D68" i="4"/>
  <c r="D72" i="4"/>
  <c r="D4" i="4"/>
  <c r="G4" i="4" s="1"/>
  <c r="H4" i="4" s="1"/>
  <c r="D5" i="4"/>
  <c r="D9" i="4"/>
  <c r="D13" i="4"/>
  <c r="D17" i="4"/>
  <c r="D21" i="4"/>
  <c r="D25" i="4"/>
  <c r="D29" i="4"/>
  <c r="D33" i="4"/>
  <c r="D37" i="4"/>
  <c r="D41" i="4"/>
  <c r="D45" i="4"/>
  <c r="D49" i="4"/>
  <c r="D53" i="4"/>
  <c r="D57" i="4"/>
  <c r="D61" i="4"/>
  <c r="D65" i="4"/>
  <c r="D69" i="4"/>
  <c r="D73" i="4"/>
  <c r="G4" i="6" l="1"/>
  <c r="A9" i="6"/>
  <c r="F8" i="6"/>
  <c r="K8" i="6" a="1"/>
  <c r="K8" i="6" s="1"/>
  <c r="K9" i="6" s="1" a="1"/>
  <c r="K9" i="6" s="1"/>
  <c r="L6" i="6"/>
  <c r="B9" i="6"/>
  <c r="L8" i="6"/>
  <c r="L7" i="6"/>
  <c r="B15" i="5"/>
  <c r="B7" i="5"/>
  <c r="C5" i="4"/>
  <c r="I4" i="4"/>
  <c r="I4" i="6" l="1"/>
  <c r="C5" i="6"/>
  <c r="E5" i="6" s="1"/>
  <c r="G5" i="6" s="1"/>
  <c r="N4" i="6"/>
  <c r="P4" i="6" s="1"/>
  <c r="K10" i="6" a="1"/>
  <c r="K10" i="6" s="1"/>
  <c r="A10" i="6"/>
  <c r="F9" i="6"/>
  <c r="D9" i="6"/>
  <c r="B10" i="6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E5" i="4"/>
  <c r="G5" i="4" s="1"/>
  <c r="A11" i="6" l="1"/>
  <c r="F10" i="6"/>
  <c r="D10" i="6"/>
  <c r="K11" i="6" a="1"/>
  <c r="K11" i="6" s="1"/>
  <c r="L9" i="6"/>
  <c r="C6" i="6"/>
  <c r="E6" i="6" s="1"/>
  <c r="N5" i="6"/>
  <c r="P5" i="6" s="1"/>
  <c r="I5" i="6"/>
  <c r="H5" i="4"/>
  <c r="K12" i="6" l="1" a="1"/>
  <c r="K12" i="6" s="1"/>
  <c r="A12" i="6"/>
  <c r="F11" i="6"/>
  <c r="D11" i="6"/>
  <c r="G6" i="6"/>
  <c r="L10" i="6"/>
  <c r="M5" i="6"/>
  <c r="C6" i="4"/>
  <c r="I5" i="4"/>
  <c r="A13" i="6" l="1"/>
  <c r="F12" i="6"/>
  <c r="D12" i="6"/>
  <c r="K13" i="6" a="1"/>
  <c r="K13" i="6" s="1"/>
  <c r="I6" i="6"/>
  <c r="C7" i="6"/>
  <c r="L11" i="6"/>
  <c r="N6" i="6"/>
  <c r="P6" i="6" s="1"/>
  <c r="E6" i="4"/>
  <c r="G6" i="4" s="1"/>
  <c r="E7" i="6" l="1"/>
  <c r="A14" i="6"/>
  <c r="K14" i="6" s="1" a="1"/>
  <c r="K14" i="6" s="1"/>
  <c r="F13" i="6"/>
  <c r="D13" i="6"/>
  <c r="G7" i="6"/>
  <c r="H7" i="6" s="1"/>
  <c r="L12" i="6"/>
  <c r="M6" i="6"/>
  <c r="M7" i="6"/>
  <c r="H6" i="4"/>
  <c r="A15" i="6" l="1"/>
  <c r="F14" i="6"/>
  <c r="D14" i="6"/>
  <c r="K15" i="6" a="1"/>
  <c r="K15" i="6" s="1"/>
  <c r="K16" i="6" s="1"/>
  <c r="C8" i="6"/>
  <c r="I7" i="6"/>
  <c r="L13" i="6"/>
  <c r="N7" i="6"/>
  <c r="P7" i="6" s="1"/>
  <c r="I6" i="4"/>
  <c r="C7" i="4"/>
  <c r="E8" i="6" l="1"/>
  <c r="A16" i="6"/>
  <c r="F15" i="6"/>
  <c r="D15" i="6"/>
  <c r="G8" i="6"/>
  <c r="H8" i="6" s="1"/>
  <c r="L14" i="6"/>
  <c r="M8" i="6"/>
  <c r="E7" i="4"/>
  <c r="G7" i="4" s="1"/>
  <c r="A17" i="6" l="1"/>
  <c r="F16" i="6"/>
  <c r="D16" i="6"/>
  <c r="I8" i="6"/>
  <c r="C9" i="6"/>
  <c r="N8" i="6"/>
  <c r="P8" i="6" s="1"/>
  <c r="L15" i="6"/>
  <c r="M9" i="6"/>
  <c r="H7" i="4"/>
  <c r="E9" i="6" l="1"/>
  <c r="G9" i="6" s="1"/>
  <c r="H9" i="6" s="1"/>
  <c r="A18" i="6"/>
  <c r="F17" i="6"/>
  <c r="D17" i="6"/>
  <c r="K17" i="6" a="1"/>
  <c r="K17" i="6" s="1"/>
  <c r="K18" i="6" s="1" a="1"/>
  <c r="K18" i="6" s="1"/>
  <c r="K19" i="6" s="1" a="1"/>
  <c r="K19" i="6" s="1"/>
  <c r="L16" i="6"/>
  <c r="C8" i="4"/>
  <c r="I7" i="4"/>
  <c r="A19" i="6" l="1"/>
  <c r="F18" i="6"/>
  <c r="D18" i="6"/>
  <c r="C10" i="6"/>
  <c r="I9" i="6"/>
  <c r="N9" i="6"/>
  <c r="P9" i="6" s="1"/>
  <c r="L17" i="6"/>
  <c r="E8" i="4"/>
  <c r="E10" i="6" l="1"/>
  <c r="A20" i="6"/>
  <c r="F19" i="6"/>
  <c r="D19" i="6"/>
  <c r="G10" i="6"/>
  <c r="H10" i="6" s="1"/>
  <c r="L18" i="6"/>
  <c r="M10" i="6"/>
  <c r="G8" i="4"/>
  <c r="H8" i="4" s="1"/>
  <c r="A21" i="6" l="1"/>
  <c r="F20" i="6"/>
  <c r="D20" i="6"/>
  <c r="K20" i="6" a="1"/>
  <c r="K20" i="6" s="1"/>
  <c r="K21" i="6" s="1" a="1"/>
  <c r="K21" i="6" s="1"/>
  <c r="C11" i="6"/>
  <c r="I10" i="6"/>
  <c r="N10" i="6"/>
  <c r="P10" i="6" s="1"/>
  <c r="L19" i="6"/>
  <c r="M11" i="6"/>
  <c r="C9" i="4"/>
  <c r="E9" i="4" s="1"/>
  <c r="I8" i="4"/>
  <c r="E11" i="6" l="1"/>
  <c r="G11" i="6" s="1"/>
  <c r="H11" i="6" s="1"/>
  <c r="K22" i="6" a="1"/>
  <c r="K22" i="6" s="1"/>
  <c r="A22" i="6"/>
  <c r="F21" i="6"/>
  <c r="D21" i="6"/>
  <c r="L20" i="6"/>
  <c r="G9" i="4"/>
  <c r="H9" i="4" s="1"/>
  <c r="A23" i="6" l="1"/>
  <c r="F22" i="6"/>
  <c r="D22" i="6"/>
  <c r="K23" i="6" a="1"/>
  <c r="K23" i="6" s="1"/>
  <c r="C12" i="6"/>
  <c r="I11" i="6"/>
  <c r="N11" i="6"/>
  <c r="P11" i="6" s="1"/>
  <c r="L21" i="6"/>
  <c r="M12" i="6"/>
  <c r="C10" i="4"/>
  <c r="E10" i="4" s="1"/>
  <c r="I9" i="4"/>
  <c r="E12" i="6" l="1"/>
  <c r="K24" i="6" a="1"/>
  <c r="K24" i="6" s="1"/>
  <c r="A24" i="6"/>
  <c r="F23" i="6"/>
  <c r="D23" i="6"/>
  <c r="G12" i="6"/>
  <c r="H12" i="6" s="1"/>
  <c r="L22" i="6"/>
  <c r="G10" i="4"/>
  <c r="H10" i="4" s="1"/>
  <c r="A25" i="6" l="1"/>
  <c r="F24" i="6"/>
  <c r="D24" i="6"/>
  <c r="K25" i="6" a="1"/>
  <c r="K25" i="6" s="1"/>
  <c r="I12" i="6"/>
  <c r="C13" i="6"/>
  <c r="N12" i="6"/>
  <c r="P12" i="6" s="1"/>
  <c r="L23" i="6"/>
  <c r="I10" i="4"/>
  <c r="C11" i="4"/>
  <c r="E11" i="4" s="1"/>
  <c r="E13" i="6" l="1"/>
  <c r="G13" i="6" s="1"/>
  <c r="H13" i="6" s="1"/>
  <c r="A26" i="6"/>
  <c r="K26" i="6" s="1" a="1"/>
  <c r="K26" i="6" s="1"/>
  <c r="F25" i="6"/>
  <c r="D25" i="6"/>
  <c r="L24" i="6"/>
  <c r="M13" i="6"/>
  <c r="G11" i="4"/>
  <c r="H11" i="4" s="1"/>
  <c r="A27" i="6" l="1"/>
  <c r="F26" i="6"/>
  <c r="D26" i="6"/>
  <c r="K27" i="6" a="1"/>
  <c r="K27" i="6" s="1"/>
  <c r="I13" i="6"/>
  <c r="C14" i="6"/>
  <c r="N13" i="6"/>
  <c r="P13" i="6" s="1"/>
  <c r="L25" i="6"/>
  <c r="M14" i="6"/>
  <c r="C12" i="4"/>
  <c r="E12" i="4" s="1"/>
  <c r="I11" i="4"/>
  <c r="E14" i="6" l="1"/>
  <c r="K28" i="6" a="1"/>
  <c r="K28" i="6" s="1"/>
  <c r="A28" i="6"/>
  <c r="F27" i="6"/>
  <c r="D27" i="6"/>
  <c r="G14" i="6"/>
  <c r="H14" i="6" s="1"/>
  <c r="L26" i="6"/>
  <c r="G12" i="4"/>
  <c r="H12" i="4" s="1"/>
  <c r="A29" i="6" l="1"/>
  <c r="F28" i="6"/>
  <c r="D28" i="6"/>
  <c r="K29" i="6" a="1"/>
  <c r="K29" i="6" s="1"/>
  <c r="L28" i="6"/>
  <c r="C15" i="6"/>
  <c r="I14" i="6"/>
  <c r="N14" i="6"/>
  <c r="P14" i="6" s="1"/>
  <c r="L27" i="6"/>
  <c r="M15" i="6"/>
  <c r="C13" i="4"/>
  <c r="E13" i="4" s="1"/>
  <c r="I12" i="4"/>
  <c r="E15" i="6" l="1"/>
  <c r="K30" i="6" a="1"/>
  <c r="K30" i="6" s="1"/>
  <c r="A30" i="6"/>
  <c r="F29" i="6"/>
  <c r="D29" i="6"/>
  <c r="G15" i="6"/>
  <c r="H15" i="6" s="1"/>
  <c r="G13" i="4"/>
  <c r="H13" i="4" s="1"/>
  <c r="A31" i="6" l="1"/>
  <c r="F30" i="6"/>
  <c r="D30" i="6"/>
  <c r="K31" i="6" a="1"/>
  <c r="K31" i="6" s="1"/>
  <c r="C16" i="6"/>
  <c r="I15" i="6"/>
  <c r="N15" i="6"/>
  <c r="P15" i="6" s="1"/>
  <c r="L29" i="6"/>
  <c r="M16" i="6"/>
  <c r="C14" i="4"/>
  <c r="E14" i="4" s="1"/>
  <c r="I13" i="4"/>
  <c r="E16" i="6" l="1"/>
  <c r="K32" i="6" a="1"/>
  <c r="K32" i="6" s="1"/>
  <c r="A32" i="6"/>
  <c r="F31" i="6"/>
  <c r="D31" i="6"/>
  <c r="G16" i="6"/>
  <c r="H16" i="6" s="1"/>
  <c r="L30" i="6"/>
  <c r="G14" i="4"/>
  <c r="H14" i="4" s="1"/>
  <c r="A33" i="6" l="1"/>
  <c r="F32" i="6"/>
  <c r="D32" i="6"/>
  <c r="K33" i="6" a="1"/>
  <c r="K33" i="6" s="1"/>
  <c r="I16" i="6"/>
  <c r="C17" i="6"/>
  <c r="N16" i="6"/>
  <c r="P16" i="6" s="1"/>
  <c r="L31" i="6"/>
  <c r="M17" i="6"/>
  <c r="I14" i="4"/>
  <c r="C15" i="4"/>
  <c r="E15" i="4" s="1"/>
  <c r="E17" i="6" l="1"/>
  <c r="K34" i="6" a="1"/>
  <c r="K34" i="6" s="1"/>
  <c r="A34" i="6"/>
  <c r="F33" i="6"/>
  <c r="D33" i="6"/>
  <c r="G17" i="6"/>
  <c r="H17" i="6" s="1"/>
  <c r="L32" i="6"/>
  <c r="G15" i="4"/>
  <c r="H15" i="4" s="1"/>
  <c r="A35" i="6" l="1"/>
  <c r="F34" i="6"/>
  <c r="D34" i="6"/>
  <c r="K35" i="6" a="1"/>
  <c r="K35" i="6" s="1"/>
  <c r="C18" i="6"/>
  <c r="I17" i="6"/>
  <c r="N17" i="6"/>
  <c r="P17" i="6" s="1"/>
  <c r="L33" i="6"/>
  <c r="M18" i="6"/>
  <c r="C16" i="4"/>
  <c r="E16" i="4" s="1"/>
  <c r="I15" i="4"/>
  <c r="E18" i="6" l="1"/>
  <c r="K36" i="6" a="1"/>
  <c r="K36" i="6" s="1"/>
  <c r="A36" i="6"/>
  <c r="F35" i="6"/>
  <c r="D35" i="6"/>
  <c r="G18" i="6"/>
  <c r="H18" i="6" s="1"/>
  <c r="L34" i="6"/>
  <c r="G16" i="4"/>
  <c r="H16" i="4" s="1"/>
  <c r="A37" i="6" l="1"/>
  <c r="F36" i="6"/>
  <c r="D36" i="6"/>
  <c r="K37" i="6" a="1"/>
  <c r="K37" i="6" s="1"/>
  <c r="C19" i="6"/>
  <c r="I18" i="6"/>
  <c r="N18" i="6"/>
  <c r="P18" i="6" s="1"/>
  <c r="L35" i="6"/>
  <c r="C17" i="4"/>
  <c r="E17" i="4" s="1"/>
  <c r="I16" i="4"/>
  <c r="E19" i="6" l="1"/>
  <c r="K38" i="6" a="1"/>
  <c r="K38" i="6" s="1"/>
  <c r="A38" i="6"/>
  <c r="F37" i="6"/>
  <c r="D37" i="6"/>
  <c r="G19" i="6"/>
  <c r="H19" i="6" s="1"/>
  <c r="L36" i="6"/>
  <c r="M19" i="6"/>
  <c r="G17" i="4"/>
  <c r="H17" i="4" s="1"/>
  <c r="A39" i="6" l="1"/>
  <c r="F38" i="6"/>
  <c r="D38" i="6"/>
  <c r="K39" i="6" a="1"/>
  <c r="K39" i="6" s="1"/>
  <c r="C20" i="6"/>
  <c r="I19" i="6"/>
  <c r="N19" i="6"/>
  <c r="P19" i="6" s="1"/>
  <c r="L37" i="6"/>
  <c r="M20" i="6"/>
  <c r="C18" i="4"/>
  <c r="E18" i="4" s="1"/>
  <c r="I17" i="4"/>
  <c r="E20" i="6" l="1"/>
  <c r="K40" i="6" a="1"/>
  <c r="K40" i="6" s="1"/>
  <c r="A40" i="6"/>
  <c r="F39" i="6"/>
  <c r="D39" i="6"/>
  <c r="G20" i="6"/>
  <c r="H20" i="6" s="1"/>
  <c r="L38" i="6"/>
  <c r="G18" i="4"/>
  <c r="H18" i="4" s="1"/>
  <c r="A41" i="6" l="1"/>
  <c r="F40" i="6"/>
  <c r="D40" i="6"/>
  <c r="K41" i="6" a="1"/>
  <c r="K41" i="6" s="1"/>
  <c r="C21" i="6"/>
  <c r="I20" i="6"/>
  <c r="N20" i="6"/>
  <c r="P20" i="6" s="1"/>
  <c r="L39" i="6"/>
  <c r="M21" i="6"/>
  <c r="I18" i="4"/>
  <c r="C19" i="4"/>
  <c r="E19" i="4" s="1"/>
  <c r="E21" i="6" l="1"/>
  <c r="K42" i="6" a="1"/>
  <c r="K42" i="6" s="1"/>
  <c r="A42" i="6"/>
  <c r="F41" i="6"/>
  <c r="D41" i="6"/>
  <c r="G21" i="6"/>
  <c r="H21" i="6" s="1"/>
  <c r="L40" i="6"/>
  <c r="G19" i="4"/>
  <c r="H19" i="4" s="1"/>
  <c r="A43" i="6" l="1"/>
  <c r="F42" i="6"/>
  <c r="D42" i="6"/>
  <c r="K43" i="6" a="1"/>
  <c r="K43" i="6" s="1"/>
  <c r="N21" i="6"/>
  <c r="P21" i="6" s="1"/>
  <c r="C22" i="6"/>
  <c r="I21" i="6"/>
  <c r="L41" i="6"/>
  <c r="M22" i="6"/>
  <c r="I19" i="4"/>
  <c r="C20" i="4"/>
  <c r="E20" i="4" s="1"/>
  <c r="E22" i="6" l="1"/>
  <c r="G22" i="6" s="1"/>
  <c r="H22" i="6" s="1"/>
  <c r="A44" i="6"/>
  <c r="F43" i="6"/>
  <c r="D43" i="6"/>
  <c r="L42" i="6"/>
  <c r="G20" i="4"/>
  <c r="H20" i="4" s="1"/>
  <c r="A45" i="6" l="1"/>
  <c r="F44" i="6"/>
  <c r="D44" i="6"/>
  <c r="K44" i="6" a="1"/>
  <c r="K44" i="6" s="1"/>
  <c r="K45" i="6" s="1" a="1"/>
  <c r="K45" i="6" s="1"/>
  <c r="C23" i="6"/>
  <c r="I22" i="6"/>
  <c r="N22" i="6"/>
  <c r="P22" i="6" s="1"/>
  <c r="L43" i="6"/>
  <c r="M23" i="6"/>
  <c r="C21" i="4"/>
  <c r="E21" i="4" s="1"/>
  <c r="I20" i="4"/>
  <c r="E23" i="6" l="1"/>
  <c r="H23" i="6"/>
  <c r="A46" i="6"/>
  <c r="F45" i="6"/>
  <c r="D45" i="6"/>
  <c r="G23" i="6"/>
  <c r="L44" i="6"/>
  <c r="G21" i="4"/>
  <c r="H21" i="4" s="1"/>
  <c r="A47" i="6" l="1"/>
  <c r="F46" i="6"/>
  <c r="D46" i="6"/>
  <c r="K46" i="6" a="1"/>
  <c r="K46" i="6" s="1"/>
  <c r="K47" i="6" s="1" a="1"/>
  <c r="K47" i="6" s="1"/>
  <c r="I23" i="6"/>
  <c r="C24" i="6"/>
  <c r="N23" i="6"/>
  <c r="P23" i="6" s="1"/>
  <c r="L45" i="6"/>
  <c r="M24" i="6"/>
  <c r="I21" i="4"/>
  <c r="C22" i="4"/>
  <c r="E22" i="4" s="1"/>
  <c r="E24" i="6" l="1"/>
  <c r="H24" i="6"/>
  <c r="A48" i="6"/>
  <c r="F47" i="6"/>
  <c r="D47" i="6"/>
  <c r="G24" i="6"/>
  <c r="L46" i="6"/>
  <c r="G22" i="4"/>
  <c r="H22" i="4" s="1"/>
  <c r="A49" i="6" l="1"/>
  <c r="F48" i="6"/>
  <c r="D48" i="6"/>
  <c r="K48" i="6" a="1"/>
  <c r="K48" i="6" s="1"/>
  <c r="K49" i="6" s="1" a="1"/>
  <c r="K49" i="6" s="1"/>
  <c r="C25" i="6"/>
  <c r="I24" i="6"/>
  <c r="N24" i="6"/>
  <c r="P24" i="6" s="1"/>
  <c r="L47" i="6"/>
  <c r="C23" i="4"/>
  <c r="E23" i="4" s="1"/>
  <c r="I22" i="4"/>
  <c r="E25" i="6" l="1"/>
  <c r="A50" i="6"/>
  <c r="F49" i="6"/>
  <c r="D49" i="6"/>
  <c r="G25" i="6"/>
  <c r="H25" i="6" s="1"/>
  <c r="L48" i="6"/>
  <c r="M25" i="6"/>
  <c r="G23" i="4"/>
  <c r="H23" i="4" s="1"/>
  <c r="A51" i="6" l="1"/>
  <c r="F50" i="6"/>
  <c r="D50" i="6"/>
  <c r="K50" i="6" a="1"/>
  <c r="K50" i="6" s="1"/>
  <c r="K51" i="6" s="1" a="1"/>
  <c r="K51" i="6" s="1"/>
  <c r="I25" i="6"/>
  <c r="C26" i="6"/>
  <c r="L49" i="6"/>
  <c r="N25" i="6"/>
  <c r="P25" i="6" s="1"/>
  <c r="M26" i="6"/>
  <c r="C24" i="4"/>
  <c r="E24" i="4" s="1"/>
  <c r="I23" i="4"/>
  <c r="E26" i="6" l="1"/>
  <c r="A52" i="6"/>
  <c r="F51" i="6"/>
  <c r="D51" i="6"/>
  <c r="G26" i="6"/>
  <c r="H26" i="6" s="1"/>
  <c r="L50" i="6"/>
  <c r="G24" i="4"/>
  <c r="H24" i="4" s="1"/>
  <c r="A53" i="6" l="1"/>
  <c r="F52" i="6"/>
  <c r="D52" i="6"/>
  <c r="K52" i="6" a="1"/>
  <c r="K52" i="6" s="1"/>
  <c r="K53" i="6" s="1" a="1"/>
  <c r="K53" i="6" s="1"/>
  <c r="C27" i="6"/>
  <c r="I26" i="6"/>
  <c r="N26" i="6"/>
  <c r="P26" i="6" s="1"/>
  <c r="L51" i="6"/>
  <c r="C25" i="4"/>
  <c r="E25" i="4" s="1"/>
  <c r="I24" i="4"/>
  <c r="E27" i="6" l="1"/>
  <c r="A54" i="6"/>
  <c r="F53" i="6"/>
  <c r="D53" i="6"/>
  <c r="G27" i="6"/>
  <c r="H27" i="6" s="1"/>
  <c r="L52" i="6"/>
  <c r="M27" i="6"/>
  <c r="G25" i="4"/>
  <c r="H25" i="4" s="1"/>
  <c r="A55" i="6" l="1"/>
  <c r="F54" i="6"/>
  <c r="D54" i="6"/>
  <c r="K54" i="6" a="1"/>
  <c r="K54" i="6" s="1"/>
  <c r="K55" i="6" s="1" a="1"/>
  <c r="K55" i="6" s="1"/>
  <c r="C28" i="6"/>
  <c r="I27" i="6"/>
  <c r="N27" i="6"/>
  <c r="P27" i="6" s="1"/>
  <c r="L53" i="6"/>
  <c r="M28" i="6"/>
  <c r="C26" i="4"/>
  <c r="E26" i="4" s="1"/>
  <c r="I25" i="4"/>
  <c r="E28" i="6" l="1"/>
  <c r="G28" i="6" s="1"/>
  <c r="H28" i="6" s="1"/>
  <c r="A56" i="6"/>
  <c r="F55" i="6"/>
  <c r="D55" i="6"/>
  <c r="L54" i="6"/>
  <c r="G26" i="4"/>
  <c r="H26" i="4" s="1"/>
  <c r="A57" i="6" l="1"/>
  <c r="F56" i="6"/>
  <c r="D56" i="6"/>
  <c r="K56" i="6" a="1"/>
  <c r="K56" i="6" s="1"/>
  <c r="K57" i="6" s="1" a="1"/>
  <c r="K57" i="6" s="1"/>
  <c r="N28" i="6"/>
  <c r="P28" i="6" s="1"/>
  <c r="C29" i="6"/>
  <c r="I28" i="6"/>
  <c r="L55" i="6"/>
  <c r="M29" i="6"/>
  <c r="I26" i="4"/>
  <c r="C27" i="4"/>
  <c r="E27" i="4" s="1"/>
  <c r="E29" i="6" l="1"/>
  <c r="G29" i="6" s="1"/>
  <c r="H29" i="6" s="1"/>
  <c r="A58" i="6"/>
  <c r="F57" i="6"/>
  <c r="D57" i="6"/>
  <c r="L56" i="6"/>
  <c r="G27" i="4"/>
  <c r="H27" i="4" s="1"/>
  <c r="A59" i="6" l="1"/>
  <c r="F58" i="6"/>
  <c r="D58" i="6"/>
  <c r="K58" i="6" a="1"/>
  <c r="K58" i="6" s="1"/>
  <c r="K59" i="6" s="1" a="1"/>
  <c r="K59" i="6" s="1"/>
  <c r="C30" i="6"/>
  <c r="I29" i="6"/>
  <c r="N29" i="6"/>
  <c r="P29" i="6" s="1"/>
  <c r="L57" i="6"/>
  <c r="M30" i="6"/>
  <c r="I27" i="4"/>
  <c r="C28" i="4"/>
  <c r="E28" i="4" s="1"/>
  <c r="E30" i="6" l="1"/>
  <c r="A60" i="6"/>
  <c r="F59" i="6"/>
  <c r="D59" i="6"/>
  <c r="G30" i="6"/>
  <c r="H30" i="6" s="1"/>
  <c r="L58" i="6"/>
  <c r="G28" i="4"/>
  <c r="H28" i="4" s="1"/>
  <c r="A61" i="6" l="1"/>
  <c r="F60" i="6"/>
  <c r="D60" i="6"/>
  <c r="K60" i="6" a="1"/>
  <c r="K60" i="6" s="1"/>
  <c r="N30" i="6"/>
  <c r="P30" i="6" s="1"/>
  <c r="C31" i="6"/>
  <c r="I30" i="6"/>
  <c r="L59" i="6"/>
  <c r="M31" i="6"/>
  <c r="C29" i="4"/>
  <c r="E29" i="4" s="1"/>
  <c r="I28" i="4"/>
  <c r="E31" i="6" l="1"/>
  <c r="A62" i="6"/>
  <c r="F61" i="6"/>
  <c r="D61" i="6"/>
  <c r="K61" i="6" a="1"/>
  <c r="K61" i="6" s="1"/>
  <c r="K62" i="6" s="1" a="1"/>
  <c r="K62" i="6" s="1"/>
  <c r="G31" i="6"/>
  <c r="H31" i="6" s="1"/>
  <c r="L60" i="6"/>
  <c r="G29" i="4"/>
  <c r="H29" i="4" s="1"/>
  <c r="K63" i="6" l="1" a="1"/>
  <c r="K63" i="6" s="1"/>
  <c r="A63" i="6"/>
  <c r="F62" i="6"/>
  <c r="D62" i="6"/>
  <c r="C32" i="6"/>
  <c r="I31" i="6"/>
  <c r="N31" i="6"/>
  <c r="P31" i="6" s="1"/>
  <c r="L61" i="6"/>
  <c r="M32" i="6"/>
  <c r="I29" i="4"/>
  <c r="C30" i="4"/>
  <c r="E30" i="4" s="1"/>
  <c r="E32" i="6" l="1"/>
  <c r="A64" i="6"/>
  <c r="F63" i="6"/>
  <c r="D63" i="6"/>
  <c r="K64" i="6" a="1"/>
  <c r="K64" i="6" s="1"/>
  <c r="G32" i="6"/>
  <c r="H32" i="6" s="1"/>
  <c r="L62" i="6"/>
  <c r="G30" i="4"/>
  <c r="H30" i="4" s="1"/>
  <c r="K65" i="6" l="1" a="1"/>
  <c r="K65" i="6" s="1"/>
  <c r="A65" i="6"/>
  <c r="F64" i="6"/>
  <c r="D64" i="6"/>
  <c r="C33" i="6"/>
  <c r="I32" i="6"/>
  <c r="N32" i="6"/>
  <c r="P32" i="6" s="1"/>
  <c r="L63" i="6"/>
  <c r="M33" i="6"/>
  <c r="C31" i="4"/>
  <c r="E31" i="4" s="1"/>
  <c r="I30" i="4"/>
  <c r="E33" i="6" l="1"/>
  <c r="G33" i="6" s="1"/>
  <c r="H33" i="6" s="1"/>
  <c r="A66" i="6"/>
  <c r="F65" i="6"/>
  <c r="D65" i="6"/>
  <c r="K66" i="6" a="1"/>
  <c r="K66" i="6" s="1"/>
  <c r="L64" i="6"/>
  <c r="G31" i="4"/>
  <c r="H31" i="4" s="1"/>
  <c r="K67" i="6" l="1" a="1"/>
  <c r="K67" i="6" s="1"/>
  <c r="A67" i="6"/>
  <c r="F66" i="6"/>
  <c r="D66" i="6"/>
  <c r="C34" i="6"/>
  <c r="I33" i="6"/>
  <c r="N33" i="6"/>
  <c r="P33" i="6" s="1"/>
  <c r="L65" i="6"/>
  <c r="M34" i="6"/>
  <c r="I31" i="4"/>
  <c r="C32" i="4"/>
  <c r="E32" i="4" s="1"/>
  <c r="E34" i="6" l="1"/>
  <c r="A68" i="6"/>
  <c r="F67" i="6"/>
  <c r="D67" i="6"/>
  <c r="K68" i="6" a="1"/>
  <c r="K68" i="6" s="1"/>
  <c r="G34" i="6"/>
  <c r="H34" i="6" s="1"/>
  <c r="L66" i="6"/>
  <c r="G32" i="4"/>
  <c r="H32" i="4" s="1"/>
  <c r="K69" i="6" l="1" a="1"/>
  <c r="K69" i="6" s="1"/>
  <c r="A69" i="6"/>
  <c r="F68" i="6"/>
  <c r="D68" i="6"/>
  <c r="C35" i="6"/>
  <c r="I34" i="6"/>
  <c r="N34" i="6"/>
  <c r="P34" i="6" s="1"/>
  <c r="L67" i="6"/>
  <c r="M35" i="6"/>
  <c r="C33" i="4"/>
  <c r="E33" i="4" s="1"/>
  <c r="I32" i="4"/>
  <c r="E35" i="6" l="1"/>
  <c r="A70" i="6"/>
  <c r="F69" i="6"/>
  <c r="D69" i="6"/>
  <c r="K70" i="6" a="1"/>
  <c r="K70" i="6" s="1"/>
  <c r="G35" i="6"/>
  <c r="H35" i="6" s="1"/>
  <c r="L68" i="6"/>
  <c r="G33" i="4"/>
  <c r="H33" i="4" s="1"/>
  <c r="K71" i="6" l="1" a="1"/>
  <c r="K71" i="6" s="1"/>
  <c r="A71" i="6"/>
  <c r="D70" i="6"/>
  <c r="F70" i="6"/>
  <c r="I35" i="6"/>
  <c r="C36" i="6"/>
  <c r="N35" i="6"/>
  <c r="P35" i="6" s="1"/>
  <c r="L69" i="6"/>
  <c r="M36" i="6"/>
  <c r="I33" i="4"/>
  <c r="C34" i="4"/>
  <c r="E34" i="4" s="1"/>
  <c r="E36" i="6" l="1"/>
  <c r="G36" i="6" s="1"/>
  <c r="H36" i="6" s="1"/>
  <c r="A72" i="6"/>
  <c r="F71" i="6"/>
  <c r="D71" i="6"/>
  <c r="K72" i="6" a="1"/>
  <c r="K72" i="6" s="1"/>
  <c r="L70" i="6"/>
  <c r="G34" i="4"/>
  <c r="H34" i="4" s="1"/>
  <c r="K73" i="6" l="1" a="1"/>
  <c r="K73" i="6" s="1"/>
  <c r="A73" i="6"/>
  <c r="D72" i="6"/>
  <c r="F72" i="6"/>
  <c r="C37" i="6"/>
  <c r="I36" i="6"/>
  <c r="N36" i="6"/>
  <c r="P36" i="6" s="1"/>
  <c r="L71" i="6"/>
  <c r="M37" i="6"/>
  <c r="I34" i="4"/>
  <c r="C35" i="4"/>
  <c r="E35" i="4" s="1"/>
  <c r="E37" i="6" l="1"/>
  <c r="G37" i="6" s="1"/>
  <c r="H37" i="6" s="1"/>
  <c r="A74" i="6"/>
  <c r="F73" i="6"/>
  <c r="D73" i="6"/>
  <c r="K74" i="6" a="1"/>
  <c r="K74" i="6" s="1"/>
  <c r="L72" i="6"/>
  <c r="G35" i="4"/>
  <c r="H35" i="4" s="1"/>
  <c r="K75" i="6" l="1" a="1"/>
  <c r="K75" i="6" s="1"/>
  <c r="A75" i="6"/>
  <c r="F74" i="6"/>
  <c r="D74" i="6"/>
  <c r="I37" i="6"/>
  <c r="C38" i="6"/>
  <c r="N37" i="6"/>
  <c r="P37" i="6" s="1"/>
  <c r="L73" i="6"/>
  <c r="M38" i="6"/>
  <c r="C36" i="4"/>
  <c r="E36" i="4" s="1"/>
  <c r="I35" i="4"/>
  <c r="E38" i="6" l="1"/>
  <c r="G38" i="6" s="1"/>
  <c r="H38" i="6" s="1"/>
  <c r="A76" i="6"/>
  <c r="G75" i="6"/>
  <c r="E75" i="6"/>
  <c r="F75" i="6"/>
  <c r="D75" i="6"/>
  <c r="K76" i="6" a="1"/>
  <c r="K76" i="6" s="1"/>
  <c r="L74" i="6"/>
  <c r="G36" i="4"/>
  <c r="H36" i="4" s="1"/>
  <c r="K77" i="6" l="1" a="1"/>
  <c r="K77" i="6" s="1"/>
  <c r="A77" i="6"/>
  <c r="G76" i="6"/>
  <c r="E76" i="6"/>
  <c r="F76" i="6"/>
  <c r="D76" i="6"/>
  <c r="I38" i="6"/>
  <c r="C39" i="6"/>
  <c r="N38" i="6"/>
  <c r="P38" i="6" s="1"/>
  <c r="L75" i="6"/>
  <c r="M39" i="6"/>
  <c r="I36" i="4"/>
  <c r="C37" i="4"/>
  <c r="E37" i="4" s="1"/>
  <c r="E39" i="6" l="1"/>
  <c r="G39" i="6" s="1"/>
  <c r="H39" i="6" s="1"/>
  <c r="A78" i="6"/>
  <c r="G77" i="6"/>
  <c r="E77" i="6"/>
  <c r="F77" i="6"/>
  <c r="D77" i="6"/>
  <c r="K78" i="6" a="1"/>
  <c r="K78" i="6" s="1"/>
  <c r="L76" i="6"/>
  <c r="M76" i="6" s="1"/>
  <c r="G37" i="4"/>
  <c r="H37" i="4" s="1"/>
  <c r="K79" i="6" l="1" a="1"/>
  <c r="K79" i="6" s="1"/>
  <c r="A79" i="6"/>
  <c r="G78" i="6"/>
  <c r="E78" i="6"/>
  <c r="F78" i="6"/>
  <c r="D78" i="6"/>
  <c r="C40" i="6"/>
  <c r="I39" i="6"/>
  <c r="N39" i="6"/>
  <c r="P39" i="6" s="1"/>
  <c r="L77" i="6"/>
  <c r="M77" i="6" s="1"/>
  <c r="M40" i="6"/>
  <c r="C38" i="4"/>
  <c r="E38" i="4" s="1"/>
  <c r="I37" i="4"/>
  <c r="E40" i="6" l="1"/>
  <c r="G40" i="6" s="1"/>
  <c r="H40" i="6" s="1"/>
  <c r="A80" i="6"/>
  <c r="G79" i="6"/>
  <c r="E79" i="6"/>
  <c r="D79" i="6"/>
  <c r="F79" i="6"/>
  <c r="K80" i="6" a="1"/>
  <c r="K80" i="6" s="1"/>
  <c r="L78" i="6"/>
  <c r="M78" i="6" s="1"/>
  <c r="G38" i="4"/>
  <c r="H38" i="4" s="1"/>
  <c r="K81" i="6" l="1" a="1"/>
  <c r="K81" i="6" s="1"/>
  <c r="A81" i="6"/>
  <c r="G80" i="6"/>
  <c r="E80" i="6"/>
  <c r="F80" i="6"/>
  <c r="D80" i="6"/>
  <c r="C41" i="6"/>
  <c r="I40" i="6"/>
  <c r="N40" i="6"/>
  <c r="P40" i="6" s="1"/>
  <c r="L79" i="6"/>
  <c r="M79" i="6" s="1"/>
  <c r="M41" i="6"/>
  <c r="I38" i="4"/>
  <c r="C39" i="4"/>
  <c r="E39" i="4" s="1"/>
  <c r="E41" i="6" l="1"/>
  <c r="G41" i="6" s="1"/>
  <c r="H41" i="6" s="1"/>
  <c r="A82" i="6"/>
  <c r="G81" i="6"/>
  <c r="E81" i="6"/>
  <c r="D81" i="6"/>
  <c r="F81" i="6"/>
  <c r="K82" i="6" a="1"/>
  <c r="K82" i="6" s="1"/>
  <c r="L80" i="6"/>
  <c r="M80" i="6" s="1"/>
  <c r="G39" i="4"/>
  <c r="H39" i="4" s="1"/>
  <c r="K83" i="6" l="1" a="1"/>
  <c r="K83" i="6" s="1"/>
  <c r="A83" i="6"/>
  <c r="E82" i="6"/>
  <c r="G82" i="6"/>
  <c r="F82" i="6"/>
  <c r="D82" i="6"/>
  <c r="C42" i="6"/>
  <c r="I41" i="6"/>
  <c r="N41" i="6"/>
  <c r="P41" i="6" s="1"/>
  <c r="L81" i="6"/>
  <c r="M81" i="6" s="1"/>
  <c r="M42" i="6"/>
  <c r="I39" i="4"/>
  <c r="C40" i="4"/>
  <c r="E40" i="4" s="1"/>
  <c r="E42" i="6" l="1"/>
  <c r="G42" i="6" s="1"/>
  <c r="H42" i="6" s="1"/>
  <c r="A84" i="6"/>
  <c r="G83" i="6"/>
  <c r="E83" i="6"/>
  <c r="F83" i="6"/>
  <c r="D83" i="6"/>
  <c r="K84" i="6" a="1"/>
  <c r="K84" i="6" s="1"/>
  <c r="L82" i="6"/>
  <c r="M82" i="6" s="1"/>
  <c r="G40" i="4"/>
  <c r="H40" i="4" s="1"/>
  <c r="K85" i="6" l="1" a="1"/>
  <c r="K85" i="6" s="1"/>
  <c r="A85" i="6"/>
  <c r="G84" i="6"/>
  <c r="E84" i="6"/>
  <c r="D84" i="6"/>
  <c r="F84" i="6"/>
  <c r="I42" i="6"/>
  <c r="C43" i="6"/>
  <c r="N42" i="6"/>
  <c r="P42" i="6" s="1"/>
  <c r="L83" i="6"/>
  <c r="M83" i="6" s="1"/>
  <c r="M43" i="6"/>
  <c r="C41" i="4"/>
  <c r="E41" i="4" s="1"/>
  <c r="I40" i="4"/>
  <c r="E43" i="6" l="1"/>
  <c r="G43" i="6" s="1"/>
  <c r="H43" i="6" s="1"/>
  <c r="A86" i="6"/>
  <c r="G85" i="6"/>
  <c r="E85" i="6"/>
  <c r="F85" i="6"/>
  <c r="D85" i="6"/>
  <c r="K86" i="6" a="1"/>
  <c r="K86" i="6" s="1"/>
  <c r="L84" i="6"/>
  <c r="M84" i="6" s="1"/>
  <c r="G41" i="4"/>
  <c r="H41" i="4" s="1"/>
  <c r="K87" i="6" l="1" a="1"/>
  <c r="K87" i="6" s="1"/>
  <c r="A87" i="6"/>
  <c r="G86" i="6"/>
  <c r="E86" i="6"/>
  <c r="F86" i="6"/>
  <c r="D86" i="6"/>
  <c r="C44" i="6"/>
  <c r="I43" i="6"/>
  <c r="N43" i="6"/>
  <c r="P43" i="6" s="1"/>
  <c r="L85" i="6"/>
  <c r="M85" i="6" s="1"/>
  <c r="M44" i="6"/>
  <c r="C42" i="4"/>
  <c r="E42" i="4" s="1"/>
  <c r="I41" i="4"/>
  <c r="E44" i="6" l="1"/>
  <c r="G44" i="6" s="1"/>
  <c r="H44" i="6" s="1"/>
  <c r="A88" i="6"/>
  <c r="E87" i="6"/>
  <c r="G87" i="6"/>
  <c r="D87" i="6"/>
  <c r="F87" i="6"/>
  <c r="K88" i="6" a="1"/>
  <c r="K88" i="6" s="1"/>
  <c r="L88" i="6" s="1"/>
  <c r="M88" i="6" s="1"/>
  <c r="L86" i="6"/>
  <c r="M86" i="6" s="1"/>
  <c r="G42" i="4"/>
  <c r="H42" i="4" s="1"/>
  <c r="E88" i="6" l="1"/>
  <c r="G88" i="6"/>
  <c r="A89" i="6"/>
  <c r="F88" i="6"/>
  <c r="D88" i="6"/>
  <c r="I44" i="6"/>
  <c r="C45" i="6"/>
  <c r="N44" i="6"/>
  <c r="P44" i="6" s="1"/>
  <c r="L87" i="6"/>
  <c r="M87" i="6" s="1"/>
  <c r="M45" i="6"/>
  <c r="C43" i="4"/>
  <c r="E43" i="4" s="1"/>
  <c r="I42" i="4"/>
  <c r="E45" i="6" l="1"/>
  <c r="G45" i="6" s="1"/>
  <c r="H45" i="6" s="1"/>
  <c r="G89" i="6"/>
  <c r="E89" i="6"/>
  <c r="A90" i="6"/>
  <c r="F89" i="6"/>
  <c r="K89" i="6" a="1"/>
  <c r="K89" i="6" s="1"/>
  <c r="L89" i="6" s="1"/>
  <c r="M89" i="6" s="1"/>
  <c r="D89" i="6"/>
  <c r="G43" i="4"/>
  <c r="H43" i="4" s="1"/>
  <c r="G90" i="6" l="1"/>
  <c r="E90" i="6"/>
  <c r="A91" i="6"/>
  <c r="F90" i="6"/>
  <c r="D90" i="6"/>
  <c r="K90" i="6" a="1"/>
  <c r="K90" i="6" s="1"/>
  <c r="L90" i="6" s="1"/>
  <c r="M90" i="6" s="1"/>
  <c r="C46" i="6"/>
  <c r="I45" i="6"/>
  <c r="N45" i="6"/>
  <c r="P45" i="6" s="1"/>
  <c r="M46" i="6"/>
  <c r="C44" i="4"/>
  <c r="E44" i="4" s="1"/>
  <c r="I43" i="4"/>
  <c r="E46" i="6" l="1"/>
  <c r="G46" i="6" s="1"/>
  <c r="H46" i="6" s="1"/>
  <c r="G91" i="6"/>
  <c r="E91" i="6"/>
  <c r="D91" i="6"/>
  <c r="A92" i="6"/>
  <c r="F91" i="6"/>
  <c r="K91" i="6" a="1"/>
  <c r="K91" i="6" s="1"/>
  <c r="G44" i="4"/>
  <c r="H44" i="4" s="1"/>
  <c r="L91" i="6" l="1"/>
  <c r="M91" i="6"/>
  <c r="G92" i="6"/>
  <c r="E92" i="6"/>
  <c r="D92" i="6"/>
  <c r="F92" i="6"/>
  <c r="A93" i="6"/>
  <c r="K92" i="6" a="1"/>
  <c r="K92" i="6" s="1"/>
  <c r="L92" i="6" s="1"/>
  <c r="M92" i="6" s="1"/>
  <c r="C47" i="6"/>
  <c r="I46" i="6"/>
  <c r="N46" i="6"/>
  <c r="P46" i="6" s="1"/>
  <c r="M47" i="6"/>
  <c r="I44" i="4"/>
  <c r="C45" i="4"/>
  <c r="E45" i="4" s="1"/>
  <c r="E47" i="6" l="1"/>
  <c r="G47" i="6" s="1"/>
  <c r="H47" i="6" s="1"/>
  <c r="G93" i="6"/>
  <c r="E93" i="6"/>
  <c r="D93" i="6"/>
  <c r="F93" i="6"/>
  <c r="A94" i="6"/>
  <c r="K93" i="6" a="1"/>
  <c r="K93" i="6" s="1"/>
  <c r="L93" i="6" s="1"/>
  <c r="M93" i="6" s="1"/>
  <c r="G45" i="4"/>
  <c r="H45" i="4" s="1"/>
  <c r="G94" i="6" l="1"/>
  <c r="E94" i="6"/>
  <c r="F94" i="6"/>
  <c r="A95" i="6"/>
  <c r="D94" i="6"/>
  <c r="K94" i="6" a="1"/>
  <c r="K94" i="6" s="1"/>
  <c r="L94" i="6" s="1"/>
  <c r="M94" i="6" s="1"/>
  <c r="C48" i="6"/>
  <c r="I47" i="6"/>
  <c r="N47" i="6"/>
  <c r="P47" i="6" s="1"/>
  <c r="M48" i="6"/>
  <c r="I45" i="4"/>
  <c r="C46" i="4"/>
  <c r="E46" i="4" s="1"/>
  <c r="E48" i="6" l="1"/>
  <c r="G95" i="6"/>
  <c r="E95" i="6"/>
  <c r="D95" i="6"/>
  <c r="F95" i="6"/>
  <c r="A96" i="6"/>
  <c r="K95" i="6" a="1"/>
  <c r="K95" i="6" s="1"/>
  <c r="L95" i="6" s="1"/>
  <c r="M95" i="6" s="1"/>
  <c r="G48" i="6"/>
  <c r="H48" i="6" s="1"/>
  <c r="G46" i="4"/>
  <c r="H46" i="4" s="1"/>
  <c r="G96" i="6" l="1"/>
  <c r="E96" i="6"/>
  <c r="D96" i="6"/>
  <c r="F96" i="6"/>
  <c r="A97" i="6"/>
  <c r="K96" i="6" a="1"/>
  <c r="K96" i="6" s="1"/>
  <c r="L96" i="6" s="1"/>
  <c r="M96" i="6" s="1"/>
  <c r="C49" i="6"/>
  <c r="I48" i="6"/>
  <c r="N48" i="6"/>
  <c r="P48" i="6" s="1"/>
  <c r="M49" i="6"/>
  <c r="C47" i="4"/>
  <c r="E47" i="4" s="1"/>
  <c r="I46" i="4"/>
  <c r="E49" i="6" l="1"/>
  <c r="G97" i="6"/>
  <c r="E97" i="6"/>
  <c r="D97" i="6"/>
  <c r="F97" i="6"/>
  <c r="A98" i="6"/>
  <c r="K97" i="6" a="1"/>
  <c r="K97" i="6" s="1"/>
  <c r="L97" i="6" s="1"/>
  <c r="M97" i="6" s="1"/>
  <c r="G49" i="6"/>
  <c r="H49" i="6" s="1"/>
  <c r="G47" i="4"/>
  <c r="H47" i="4" s="1"/>
  <c r="G98" i="6" l="1"/>
  <c r="E98" i="6"/>
  <c r="D98" i="6"/>
  <c r="A99" i="6"/>
  <c r="F98" i="6"/>
  <c r="K98" i="6" a="1"/>
  <c r="K98" i="6" s="1"/>
  <c r="L98" i="6" s="1"/>
  <c r="M98" i="6" s="1"/>
  <c r="C50" i="6"/>
  <c r="I49" i="6"/>
  <c r="N49" i="6"/>
  <c r="P49" i="6" s="1"/>
  <c r="M50" i="6"/>
  <c r="I47" i="4"/>
  <c r="C48" i="4"/>
  <c r="E48" i="4" s="1"/>
  <c r="E50" i="6" l="1"/>
  <c r="G50" i="6" s="1"/>
  <c r="H50" i="6" s="1"/>
  <c r="G99" i="6"/>
  <c r="E99" i="6"/>
  <c r="F99" i="6"/>
  <c r="D99" i="6"/>
  <c r="K99" i="6" a="1"/>
  <c r="K99" i="6" s="1"/>
  <c r="G48" i="4"/>
  <c r="H48" i="4" s="1"/>
  <c r="L99" i="6" l="1"/>
  <c r="M99" i="6"/>
  <c r="C51" i="6"/>
  <c r="I50" i="6"/>
  <c r="N50" i="6"/>
  <c r="P50" i="6" s="1"/>
  <c r="M51" i="6"/>
  <c r="C49" i="4"/>
  <c r="E49" i="4" s="1"/>
  <c r="I48" i="4"/>
  <c r="E51" i="6" l="1"/>
  <c r="G51" i="6"/>
  <c r="H51" i="6" s="1"/>
  <c r="G49" i="4"/>
  <c r="H49" i="4" s="1"/>
  <c r="N51" i="6" l="1"/>
  <c r="P51" i="6" s="1"/>
  <c r="C52" i="6"/>
  <c r="I51" i="6"/>
  <c r="M52" i="6"/>
  <c r="I49" i="4"/>
  <c r="C50" i="4"/>
  <c r="E50" i="4" s="1"/>
  <c r="E52" i="6" l="1"/>
  <c r="G52" i="6"/>
  <c r="H52" i="6" s="1"/>
  <c r="G50" i="4"/>
  <c r="H50" i="4" s="1"/>
  <c r="C53" i="6" l="1"/>
  <c r="I52" i="6"/>
  <c r="N52" i="6"/>
  <c r="P52" i="6" s="1"/>
  <c r="M53" i="6"/>
  <c r="I50" i="4"/>
  <c r="C51" i="4"/>
  <c r="E51" i="4" s="1"/>
  <c r="E53" i="6" l="1"/>
  <c r="G53" i="6"/>
  <c r="H53" i="6" s="1"/>
  <c r="G51" i="4"/>
  <c r="H51" i="4" s="1"/>
  <c r="C54" i="6" l="1"/>
  <c r="I53" i="6"/>
  <c r="N53" i="6"/>
  <c r="P53" i="6" s="1"/>
  <c r="M54" i="6"/>
  <c r="I51" i="4"/>
  <c r="C52" i="4"/>
  <c r="E52" i="4" s="1"/>
  <c r="E54" i="6" l="1"/>
  <c r="G54" i="6"/>
  <c r="H54" i="6" s="1"/>
  <c r="G52" i="4"/>
  <c r="H52" i="4" s="1"/>
  <c r="C55" i="6" l="1"/>
  <c r="I54" i="6"/>
  <c r="N54" i="6"/>
  <c r="P54" i="6" s="1"/>
  <c r="I52" i="4"/>
  <c r="C53" i="4"/>
  <c r="E53" i="4" s="1"/>
  <c r="E55" i="6" l="1"/>
  <c r="G55" i="6"/>
  <c r="H55" i="6" s="1"/>
  <c r="M55" i="6"/>
  <c r="G53" i="4"/>
  <c r="H53" i="4" s="1"/>
  <c r="C56" i="6" l="1"/>
  <c r="I55" i="6"/>
  <c r="N55" i="6"/>
  <c r="P55" i="6" s="1"/>
  <c r="M56" i="6"/>
  <c r="C54" i="4"/>
  <c r="E54" i="4" s="1"/>
  <c r="I53" i="4"/>
  <c r="E56" i="6" l="1"/>
  <c r="G56" i="6"/>
  <c r="H56" i="6" s="1"/>
  <c r="G54" i="4"/>
  <c r="H54" i="4" s="1"/>
  <c r="C57" i="6" l="1"/>
  <c r="I56" i="6"/>
  <c r="N56" i="6"/>
  <c r="P56" i="6" s="1"/>
  <c r="M57" i="6"/>
  <c r="I54" i="4"/>
  <c r="C55" i="4"/>
  <c r="E55" i="4" s="1"/>
  <c r="E57" i="6" l="1"/>
  <c r="G57" i="6" s="1"/>
  <c r="H57" i="6" s="1"/>
  <c r="G55" i="4"/>
  <c r="H55" i="4" s="1"/>
  <c r="I57" i="6" l="1"/>
  <c r="C58" i="6"/>
  <c r="N57" i="6"/>
  <c r="P57" i="6" s="1"/>
  <c r="M58" i="6"/>
  <c r="I55" i="4"/>
  <c r="C56" i="4"/>
  <c r="E56" i="4" s="1"/>
  <c r="E58" i="6" l="1"/>
  <c r="G58" i="6"/>
  <c r="H58" i="6" s="1"/>
  <c r="G56" i="4"/>
  <c r="H56" i="4" s="1"/>
  <c r="N58" i="6" l="1"/>
  <c r="P58" i="6" s="1"/>
  <c r="I58" i="6"/>
  <c r="C59" i="6"/>
  <c r="M59" i="6"/>
  <c r="I56" i="4"/>
  <c r="C57" i="4"/>
  <c r="E57" i="4" s="1"/>
  <c r="E59" i="6" l="1"/>
  <c r="G59" i="6"/>
  <c r="H59" i="6" s="1"/>
  <c r="G57" i="4"/>
  <c r="H57" i="4" s="1"/>
  <c r="I59" i="6" l="1"/>
  <c r="C60" i="6"/>
  <c r="N59" i="6"/>
  <c r="P59" i="6" s="1"/>
  <c r="M60" i="6"/>
  <c r="C58" i="4"/>
  <c r="E58" i="4" s="1"/>
  <c r="I57" i="4"/>
  <c r="E60" i="6" l="1"/>
  <c r="H60" i="6"/>
  <c r="G60" i="6"/>
  <c r="G58" i="4"/>
  <c r="H58" i="4" s="1"/>
  <c r="I60" i="6" l="1"/>
  <c r="C61" i="6"/>
  <c r="N60" i="6"/>
  <c r="P60" i="6" s="1"/>
  <c r="M61" i="6"/>
  <c r="I58" i="4"/>
  <c r="C59" i="4"/>
  <c r="E59" i="4" s="1"/>
  <c r="E61" i="6" l="1"/>
  <c r="G61" i="6"/>
  <c r="H61" i="6" s="1"/>
  <c r="G59" i="4"/>
  <c r="H59" i="4" s="1"/>
  <c r="I61" i="6" l="1"/>
  <c r="C62" i="6"/>
  <c r="N61" i="6"/>
  <c r="P61" i="6" s="1"/>
  <c r="M62" i="6"/>
  <c r="C60" i="4"/>
  <c r="E60" i="4" s="1"/>
  <c r="I59" i="4"/>
  <c r="E62" i="6" l="1"/>
  <c r="H62" i="6"/>
  <c r="G62" i="6"/>
  <c r="G60" i="4"/>
  <c r="H60" i="4" s="1"/>
  <c r="I62" i="6" l="1"/>
  <c r="C63" i="6"/>
  <c r="N62" i="6"/>
  <c r="P62" i="6" s="1"/>
  <c r="M63" i="6"/>
  <c r="I60" i="4"/>
  <c r="C61" i="4"/>
  <c r="E61" i="4" s="1"/>
  <c r="E63" i="6" l="1"/>
  <c r="G63" i="6" s="1"/>
  <c r="H63" i="6" s="1"/>
  <c r="G61" i="4"/>
  <c r="H61" i="4" s="1"/>
  <c r="I63" i="6" l="1"/>
  <c r="C64" i="6"/>
  <c r="N63" i="6"/>
  <c r="P63" i="6" s="1"/>
  <c r="M64" i="6"/>
  <c r="I61" i="4"/>
  <c r="C62" i="4"/>
  <c r="E62" i="4" s="1"/>
  <c r="E64" i="6" l="1"/>
  <c r="G64" i="6"/>
  <c r="G62" i="4"/>
  <c r="H62" i="4" s="1"/>
  <c r="H64" i="6" l="1"/>
  <c r="N64" i="6" s="1"/>
  <c r="P64" i="6" s="1"/>
  <c r="I64" i="6"/>
  <c r="C65" i="6"/>
  <c r="M65" i="6"/>
  <c r="I62" i="4"/>
  <c r="C63" i="4"/>
  <c r="E63" i="4" s="1"/>
  <c r="E65" i="6" l="1"/>
  <c r="G65" i="6"/>
  <c r="H65" i="6" s="1"/>
  <c r="G63" i="4"/>
  <c r="H63" i="4" s="1"/>
  <c r="N65" i="6" l="1"/>
  <c r="P65" i="6" s="1"/>
  <c r="I65" i="6"/>
  <c r="C66" i="6"/>
  <c r="M66" i="6"/>
  <c r="I63" i="4"/>
  <c r="C64" i="4"/>
  <c r="E64" i="4" s="1"/>
  <c r="E66" i="6" l="1"/>
  <c r="G66" i="6"/>
  <c r="H66" i="6" s="1"/>
  <c r="G64" i="4"/>
  <c r="H64" i="4" s="1"/>
  <c r="I66" i="6" l="1"/>
  <c r="C67" i="6"/>
  <c r="N66" i="6"/>
  <c r="P66" i="6" s="1"/>
  <c r="M67" i="6"/>
  <c r="C65" i="4"/>
  <c r="E65" i="4" s="1"/>
  <c r="I64" i="4"/>
  <c r="E67" i="6" l="1"/>
  <c r="G67" i="6"/>
  <c r="H67" i="6" s="1"/>
  <c r="G65" i="4"/>
  <c r="H65" i="4" s="1"/>
  <c r="I67" i="6" l="1"/>
  <c r="C68" i="6"/>
  <c r="N67" i="6"/>
  <c r="P67" i="6" s="1"/>
  <c r="C66" i="4"/>
  <c r="E66" i="4" s="1"/>
  <c r="I65" i="4"/>
  <c r="E68" i="6" l="1"/>
  <c r="H68" i="6"/>
  <c r="G68" i="6"/>
  <c r="M68" i="6"/>
  <c r="G66" i="4"/>
  <c r="H66" i="4" s="1"/>
  <c r="I68" i="6" l="1"/>
  <c r="C69" i="6"/>
  <c r="N68" i="6"/>
  <c r="P68" i="6" s="1"/>
  <c r="M69" i="6"/>
  <c r="I66" i="4"/>
  <c r="C67" i="4"/>
  <c r="E67" i="4" s="1"/>
  <c r="E69" i="6" l="1"/>
  <c r="G69" i="6"/>
  <c r="H69" i="6" s="1"/>
  <c r="G67" i="4"/>
  <c r="H67" i="4" s="1"/>
  <c r="C70" i="6" l="1"/>
  <c r="I69" i="6"/>
  <c r="N69" i="6"/>
  <c r="P69" i="6" s="1"/>
  <c r="M70" i="6"/>
  <c r="C68" i="4"/>
  <c r="E68" i="4" s="1"/>
  <c r="I67" i="4"/>
  <c r="E70" i="6" l="1"/>
  <c r="G70" i="6"/>
  <c r="H70" i="6" s="1"/>
  <c r="G68" i="4"/>
  <c r="H68" i="4" s="1"/>
  <c r="I70" i="6" l="1"/>
  <c r="C71" i="6"/>
  <c r="N70" i="6"/>
  <c r="P70" i="6" s="1"/>
  <c r="M71" i="6"/>
  <c r="I68" i="4"/>
  <c r="C69" i="4"/>
  <c r="E69" i="4" s="1"/>
  <c r="E71" i="6" l="1"/>
  <c r="H71" i="6"/>
  <c r="G71" i="6"/>
  <c r="G69" i="4"/>
  <c r="H69" i="4" s="1"/>
  <c r="I71" i="6" l="1"/>
  <c r="C72" i="6"/>
  <c r="N71" i="6"/>
  <c r="P71" i="6" s="1"/>
  <c r="M72" i="6"/>
  <c r="I69" i="4"/>
  <c r="C70" i="4"/>
  <c r="E70" i="4" s="1"/>
  <c r="E72" i="6" l="1"/>
  <c r="G72" i="6"/>
  <c r="H72" i="6" s="1"/>
  <c r="G70" i="4"/>
  <c r="H70" i="4" s="1"/>
  <c r="C71" i="4" s="1"/>
  <c r="C73" i="6" l="1"/>
  <c r="I72" i="6"/>
  <c r="N72" i="6"/>
  <c r="P72" i="6" s="1"/>
  <c r="M73" i="6"/>
  <c r="I70" i="4"/>
  <c r="E71" i="4"/>
  <c r="E73" i="6" l="1"/>
  <c r="G73" i="6"/>
  <c r="H73" i="6" s="1"/>
  <c r="G71" i="4"/>
  <c r="H71" i="4" s="1"/>
  <c r="N73" i="6" l="1"/>
  <c r="P73" i="6" s="1"/>
  <c r="I73" i="6"/>
  <c r="C74" i="6"/>
  <c r="I71" i="4"/>
  <c r="C72" i="4"/>
  <c r="E72" i="4" s="1"/>
  <c r="M74" i="6"/>
  <c r="E74" i="6" l="1"/>
  <c r="G74" i="6" s="1"/>
  <c r="H74" i="6" s="1"/>
  <c r="G72" i="4"/>
  <c r="H72" i="4" s="1"/>
  <c r="N74" i="6" l="1"/>
  <c r="P74" i="6" s="1"/>
  <c r="C75" i="6"/>
  <c r="I75" i="6" s="1"/>
  <c r="I74" i="6"/>
  <c r="M75" i="6"/>
  <c r="I72" i="4"/>
  <c r="C73" i="4"/>
  <c r="E73" i="4" s="1"/>
  <c r="C76" i="6" l="1"/>
  <c r="N75" i="6"/>
  <c r="P75" i="6" s="1"/>
  <c r="G73" i="4"/>
  <c r="H73" i="4" s="1"/>
  <c r="I76" i="6" l="1"/>
  <c r="N76" i="6"/>
  <c r="P76" i="6" s="1"/>
  <c r="C77" i="6"/>
  <c r="C78" i="6" s="1"/>
  <c r="C74" i="4"/>
  <c r="E74" i="4" s="1"/>
  <c r="I73" i="4"/>
  <c r="I77" i="6" l="1"/>
  <c r="N77" i="6"/>
  <c r="P77" i="6" s="1"/>
  <c r="G74" i="4"/>
  <c r="H74" i="4" s="1"/>
  <c r="N78" i="6" l="1"/>
  <c r="P78" i="6" s="1"/>
  <c r="I78" i="6"/>
  <c r="C79" i="6"/>
  <c r="I74" i="4"/>
  <c r="C75" i="4"/>
  <c r="E75" i="4" s="1"/>
  <c r="B14" i="5" l="1"/>
  <c r="G75" i="4"/>
  <c r="B13" i="5"/>
  <c r="B6" i="5"/>
  <c r="I79" i="6" l="1"/>
  <c r="C80" i="6"/>
  <c r="N79" i="6"/>
  <c r="P79" i="6" s="1"/>
  <c r="B5" i="5"/>
  <c r="H75" i="4"/>
  <c r="C76" i="4" s="1"/>
  <c r="E76" i="4" l="1"/>
  <c r="G76" i="4" s="1"/>
  <c r="H76" i="4" s="1"/>
  <c r="I75" i="4"/>
  <c r="B17" i="5"/>
  <c r="C81" i="6" l="1"/>
  <c r="N80" i="6"/>
  <c r="P80" i="6" s="1"/>
  <c r="I80" i="6"/>
  <c r="C77" i="4"/>
  <c r="I76" i="4"/>
  <c r="E77" i="4" l="1"/>
  <c r="G77" i="4" s="1"/>
  <c r="H77" i="4" s="1"/>
  <c r="N81" i="6" l="1"/>
  <c r="P81" i="6" s="1"/>
  <c r="I81" i="6"/>
  <c r="C82" i="6"/>
  <c r="C78" i="4"/>
  <c r="I77" i="4"/>
  <c r="E78" i="4" l="1"/>
  <c r="G78" i="4" s="1"/>
  <c r="H78" i="4" s="1"/>
  <c r="I82" i="6" l="1"/>
  <c r="C83" i="6"/>
  <c r="N82" i="6"/>
  <c r="P82" i="6" s="1"/>
  <c r="I78" i="4"/>
  <c r="C79" i="4"/>
  <c r="E79" i="4" l="1"/>
  <c r="G79" i="4" s="1"/>
  <c r="H79" i="4" s="1"/>
  <c r="C84" i="6" l="1"/>
  <c r="N83" i="6"/>
  <c r="P83" i="6" s="1"/>
  <c r="I83" i="6"/>
  <c r="C80" i="4"/>
  <c r="I79" i="4"/>
  <c r="E80" i="4" l="1"/>
  <c r="G80" i="4" s="1"/>
  <c r="H80" i="4" s="1"/>
  <c r="I84" i="6" l="1"/>
  <c r="N84" i="6"/>
  <c r="P84" i="6" s="1"/>
  <c r="C85" i="6"/>
  <c r="C81" i="4"/>
  <c r="I80" i="4"/>
  <c r="E81" i="4" l="1"/>
  <c r="G81" i="4" s="1"/>
  <c r="H81" i="4" s="1"/>
  <c r="I85" i="6" l="1"/>
  <c r="C86" i="6"/>
  <c r="N85" i="6"/>
  <c r="P85" i="6" s="1"/>
  <c r="C82" i="4"/>
  <c r="I81" i="4"/>
  <c r="E82" i="4" l="1"/>
  <c r="G82" i="4" s="1"/>
  <c r="H82" i="4" s="1"/>
  <c r="C87" i="6" l="1"/>
  <c r="N86" i="6"/>
  <c r="P86" i="6" s="1"/>
  <c r="I86" i="6"/>
  <c r="C83" i="4"/>
  <c r="I82" i="4"/>
  <c r="C88" i="6" l="1"/>
  <c r="E83" i="4"/>
  <c r="G83" i="4" s="1"/>
  <c r="H83" i="4" s="1"/>
  <c r="N87" i="6" l="1"/>
  <c r="P87" i="6" s="1"/>
  <c r="I87" i="6"/>
  <c r="C84" i="4"/>
  <c r="I83" i="4"/>
  <c r="C89" i="6" l="1"/>
  <c r="I88" i="6"/>
  <c r="N88" i="6"/>
  <c r="P88" i="6" s="1"/>
  <c r="E84" i="4"/>
  <c r="G84" i="4" s="1"/>
  <c r="H84" i="4" s="1"/>
  <c r="C90" i="6" l="1"/>
  <c r="I89" i="6"/>
  <c r="N89" i="6"/>
  <c r="P89" i="6" s="1"/>
  <c r="I84" i="4"/>
  <c r="C85" i="4"/>
  <c r="C91" i="6" l="1"/>
  <c r="N90" i="6"/>
  <c r="P90" i="6" s="1"/>
  <c r="I90" i="6"/>
  <c r="E85" i="4"/>
  <c r="G85" i="4" s="1"/>
  <c r="H85" i="4" s="1"/>
  <c r="C92" i="6" l="1"/>
  <c r="I91" i="6"/>
  <c r="N91" i="6"/>
  <c r="P91" i="6" s="1"/>
  <c r="C86" i="4"/>
  <c r="I85" i="4"/>
  <c r="E86" i="4" l="1"/>
  <c r="G86" i="4" s="1"/>
  <c r="H86" i="4" s="1"/>
  <c r="C93" i="6" l="1"/>
  <c r="N92" i="6"/>
  <c r="P92" i="6" s="1"/>
  <c r="I92" i="6"/>
  <c r="I86" i="4"/>
  <c r="C87" i="4"/>
  <c r="E87" i="4" l="1"/>
  <c r="G87" i="4" s="1"/>
  <c r="H87" i="4" s="1"/>
  <c r="C94" i="6" l="1"/>
  <c r="N93" i="6"/>
  <c r="P93" i="6" s="1"/>
  <c r="I93" i="6"/>
  <c r="I87" i="4"/>
  <c r="C88" i="4"/>
  <c r="E88" i="4" l="1"/>
  <c r="G88" i="4" s="1"/>
  <c r="H88" i="4" s="1"/>
  <c r="C95" i="6" l="1"/>
  <c r="I94" i="6"/>
  <c r="N94" i="6"/>
  <c r="P94" i="6" s="1"/>
  <c r="I88" i="4"/>
  <c r="C89" i="4"/>
  <c r="E89" i="4" s="1"/>
  <c r="G89" i="4" s="1"/>
  <c r="H89" i="4" s="1"/>
  <c r="C90" i="4" l="1"/>
  <c r="E90" i="4" s="1"/>
  <c r="G90" i="4" s="1"/>
  <c r="H90" i="4" s="1"/>
  <c r="I89" i="4"/>
  <c r="C96" i="6" l="1"/>
  <c r="I95" i="6"/>
  <c r="N95" i="6"/>
  <c r="P95" i="6" s="1"/>
  <c r="C91" i="4"/>
  <c r="E91" i="4" s="1"/>
  <c r="G91" i="4" s="1"/>
  <c r="H91" i="4" s="1"/>
  <c r="I90" i="4"/>
  <c r="C92" i="4" l="1"/>
  <c r="E92" i="4" s="1"/>
  <c r="G92" i="4" s="1"/>
  <c r="H92" i="4" s="1"/>
  <c r="I91" i="4"/>
  <c r="C97" i="6" l="1"/>
  <c r="I96" i="6"/>
  <c r="N96" i="6"/>
  <c r="P96" i="6" s="1"/>
  <c r="C93" i="4"/>
  <c r="I92" i="4"/>
  <c r="C98" i="6" l="1"/>
  <c r="I97" i="6"/>
  <c r="N97" i="6"/>
  <c r="P97" i="6" s="1"/>
  <c r="E93" i="4"/>
  <c r="G93" i="4" s="1"/>
  <c r="H93" i="4" s="1"/>
  <c r="C99" i="6" l="1"/>
  <c r="I98" i="6"/>
  <c r="N98" i="6"/>
  <c r="P98" i="6" s="1"/>
  <c r="C94" i="4"/>
  <c r="E94" i="4" s="1"/>
  <c r="G94" i="4" s="1"/>
  <c r="H94" i="4" s="1"/>
  <c r="I93" i="4"/>
  <c r="I99" i="6" l="1"/>
  <c r="N99" i="6"/>
  <c r="P99" i="6" s="1"/>
  <c r="C95" i="4"/>
  <c r="I94" i="4"/>
  <c r="E95" i="4" l="1"/>
  <c r="G95" i="4" s="1"/>
  <c r="H95" i="4" s="1"/>
  <c r="C96" i="4" l="1"/>
  <c r="I95" i="4"/>
  <c r="E96" i="4" l="1"/>
  <c r="G96" i="4" s="1"/>
  <c r="H96" i="4" s="1"/>
  <c r="C97" i="4" l="1"/>
  <c r="E97" i="4" s="1"/>
  <c r="G97" i="4" s="1"/>
  <c r="H97" i="4" s="1"/>
  <c r="I96" i="4"/>
  <c r="C98" i="4" l="1"/>
  <c r="E98" i="4" s="1"/>
  <c r="G98" i="4" s="1"/>
  <c r="H98" i="4" s="1"/>
  <c r="I97" i="4"/>
  <c r="C99" i="4" l="1"/>
  <c r="E99" i="4" s="1"/>
  <c r="G99" i="4" s="1"/>
  <c r="H99" i="4" s="1"/>
  <c r="I99" i="4" s="1"/>
  <c r="I9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<sst xmlns="http://schemas.openxmlformats.org/spreadsheetml/2006/main" count="178" uniqueCount="116">
  <si>
    <t>Deposit value</t>
  </si>
  <si>
    <t>Initiation fees to be financed</t>
  </si>
  <si>
    <t>Principal debt (before initiation fees to be financed)</t>
  </si>
  <si>
    <t>Term of the loan (in months)</t>
  </si>
  <si>
    <t>Annual interest rate offered</t>
  </si>
  <si>
    <t>Repayments in advance or arrears</t>
  </si>
  <si>
    <t>Arrears</t>
  </si>
  <si>
    <t>Monthly instalment (without balloon repayment)</t>
  </si>
  <si>
    <t>Payment start date</t>
  </si>
  <si>
    <t>VEHICLE LOAN INPUT PARAMETERS</t>
  </si>
  <si>
    <t>Date</t>
  </si>
  <si>
    <t>Instalment number</t>
  </si>
  <si>
    <t>Loan Instalment due</t>
  </si>
  <si>
    <t>Opening balance</t>
  </si>
  <si>
    <t>Interest charged</t>
  </si>
  <si>
    <t>LOAN PAYMENT SCHEDULE</t>
  </si>
  <si>
    <t>LOAN PAYMENT SUMMARY</t>
  </si>
  <si>
    <t>Review month</t>
  </si>
  <si>
    <t>Total loan repayments</t>
  </si>
  <si>
    <t>Total interest paid</t>
  </si>
  <si>
    <t>Total capital paid</t>
  </si>
  <si>
    <t>FULL HISTORY</t>
  </si>
  <si>
    <t>PERIODIC REVIEW</t>
  </si>
  <si>
    <t>Total capital outstanding</t>
  </si>
  <si>
    <t>Capital balance</t>
  </si>
  <si>
    <t>% of original Principle Debt</t>
  </si>
  <si>
    <t>All values include VAT</t>
  </si>
  <si>
    <t>Monthly instalment (with balloon payment)</t>
  </si>
  <si>
    <t>Ballon payment value</t>
  </si>
  <si>
    <t>Administration fee</t>
  </si>
  <si>
    <t>Total monthly repayment</t>
  </si>
  <si>
    <t>Monthly service charge</t>
  </si>
  <si>
    <t>Final invoice price</t>
  </si>
  <si>
    <t>ILLUSTRATION OF POTENTIAL SHORTFALL</t>
  </si>
  <si>
    <t>Market Value</t>
  </si>
  <si>
    <t>VEHICLE DEPRECIATION PARAMETERS</t>
  </si>
  <si>
    <t>Vehicle Selling Price</t>
  </si>
  <si>
    <t>Year 1 depreciation %</t>
  </si>
  <si>
    <t>Year 2 depreciation %</t>
  </si>
  <si>
    <t>Year 3 depreciation %</t>
  </si>
  <si>
    <t>Year 4 depreciation %</t>
  </si>
  <si>
    <t>Year 5 depreciation %</t>
  </si>
  <si>
    <t>Year 6 depreciation %</t>
  </si>
  <si>
    <t>All values include VAT where applicable</t>
  </si>
  <si>
    <t xml:space="preserve">% depreciation </t>
  </si>
  <si>
    <t>Insurance Excess (Based on Market Value)</t>
  </si>
  <si>
    <t>Market Value less Excess</t>
  </si>
  <si>
    <t>Client</t>
  </si>
  <si>
    <t>ZAETC123456789</t>
  </si>
  <si>
    <t>New</t>
  </si>
  <si>
    <t>Demo</t>
  </si>
  <si>
    <t>Vehicle Type (New/Demo/Used)</t>
  </si>
  <si>
    <t>Potential Loyalty Bonus</t>
  </si>
  <si>
    <t>TOP UP</t>
  </si>
  <si>
    <t>TOP-UP</t>
  </si>
  <si>
    <t>MONTHLY</t>
  </si>
  <si>
    <t>CATEGORY</t>
  </si>
  <si>
    <t>PRODUCT LIST</t>
  </si>
  <si>
    <t>FREQUENCY</t>
  </si>
  <si>
    <t>TOP UP PRODUCT PLAN</t>
  </si>
  <si>
    <t>RTI PRODUCT PLAN</t>
  </si>
  <si>
    <t>DEFERRED RTI PRODUCT PLAN</t>
  </si>
  <si>
    <t>RETURN TO INVOICE</t>
  </si>
  <si>
    <t>DEFERRED RETURN TO INVOICE</t>
  </si>
  <si>
    <t>RETURN TO INVOICE WITH EXCESS PROTECTOR</t>
  </si>
  <si>
    <t>TOP-UP WITH EXCESS PROTECTOR AND INSTALMENT PROTECTOR</t>
  </si>
  <si>
    <t>RETURN TO INVOICE WITH INSTALMENT PROTECTOR</t>
  </si>
  <si>
    <t>PRODUCT PLAN</t>
  </si>
  <si>
    <t>Vlookup Data</t>
  </si>
  <si>
    <t>Base Premium</t>
  </si>
  <si>
    <t>% Applied to Purchase Price</t>
  </si>
  <si>
    <t>Top-up</t>
  </si>
  <si>
    <t>Total Premium = 
Base Premium + (Percentage x Insured Value)</t>
  </si>
  <si>
    <t>Top-up With Excess Protector And Instalment Protector</t>
  </si>
  <si>
    <t>Product Option</t>
  </si>
  <si>
    <t>Product</t>
  </si>
  <si>
    <t>NEW</t>
  </si>
  <si>
    <t>USED</t>
  </si>
  <si>
    <t>DEMO</t>
  </si>
  <si>
    <t>Depreciation Model:</t>
  </si>
  <si>
    <t>Standard</t>
  </si>
  <si>
    <t>Overide</t>
  </si>
  <si>
    <t>Monthly Premium</t>
  </si>
  <si>
    <t>Sean Van Wyk</t>
  </si>
  <si>
    <t>Capital repayment</t>
  </si>
  <si>
    <t>Transaction number</t>
  </si>
  <si>
    <t>Principal debt (after initiation fees to be financed)</t>
  </si>
  <si>
    <t>Depreciation Model Standard or Override:</t>
  </si>
  <si>
    <t>Override</t>
  </si>
  <si>
    <t>Yes</t>
  </si>
  <si>
    <t>No</t>
  </si>
  <si>
    <t>Used</t>
  </si>
  <si>
    <t>Underlying Insurance Excess %</t>
  </si>
  <si>
    <t>Underlying Minimum Excess Rand Value</t>
  </si>
  <si>
    <t>TRAFICC TOP-UP (G305)</t>
  </si>
  <si>
    <t>TOP-UP WITH DEPOSIT</t>
  </si>
  <si>
    <t>TOP-UP WITH EXCESS PROTECTOR</t>
  </si>
  <si>
    <t>TOP-UP WITH EXCESS AND DEPOSIT PROTECTOR</t>
  </si>
  <si>
    <t>TOP-UP WITH EXCESS, INSTALMENT PROTECTOR AND DEPOSIT PROTECTOR</t>
  </si>
  <si>
    <t>TOP-UP WITH INSTALMENT PROTECTOR</t>
  </si>
  <si>
    <t>TOP-UP WITH INSTALMENT PROTECTOR AND DEPOSIT PROTECTOR</t>
  </si>
  <si>
    <t>Top-up With Deposit</t>
  </si>
  <si>
    <t>Top-up With Excess Protector</t>
  </si>
  <si>
    <t>Top-up With Excess And Deposit Protector</t>
  </si>
  <si>
    <t>Top-up With Excess, Instalment Protector And Deposit Protector</t>
  </si>
  <si>
    <t>Top-up With Instalment Protector</t>
  </si>
  <si>
    <t>Top-up With Instalment Protector And Deposit Protector</t>
  </si>
  <si>
    <t>TRAFICC RETURN TO INVOICE (G305)</t>
  </si>
  <si>
    <t>Return To Invoice</t>
  </si>
  <si>
    <t>Return To Invoice with Excess Protector</t>
  </si>
  <si>
    <t>Return To Invoice with Excess Protector And Instalment Protector</t>
  </si>
  <si>
    <t>Return To Invoice with Instalment Protector</t>
  </si>
  <si>
    <t>RETURN TO INVOICE WITH EXCESS PROTECTOR AND INSTALMENT PROTECTOR</t>
  </si>
  <si>
    <t>TRAFICC TAXI OWNERS TOP-UP (G305T)</t>
  </si>
  <si>
    <t>Illustration of Shortfall Benefit</t>
  </si>
  <si>
    <t>Shortfall Benefit Plus Loyalty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</si>
</sst>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&quot;R&quot;\ * #,##0.00_ ;_ &quot;R&quot;\ * \-#,##0.00_ ;_ &quot;R&quot;\ * &quot;-&quot;??_ ;_ @_ "/>
    <numFmt numFmtId="165" formatCode="_ * #,##0.00_ ;_ * \-#,##0.00_ ;_ * &quot;-&quot;??_ ;_ @_ "/>
    <numFmt numFmtId="166" formatCode="0.0%"/>
    <numFmt numFmtId="167" formatCode="mmm\-yyyy"/>
    <numFmt numFmtId="168" formatCode="&quot;R&quot;#,##0.00"/>
    <numFmt numFmtId="169" formatCode="mmm\ yyyy"/>
    <numFmt numFmtId="170" formatCode="&quot;R&quot;\ #,##0.00"/>
    <numFmt numFmtId="171" formatCode="_(* #,##0.00_);_(* \(#,##0.00\);_(* &quot;-&quot;??_);_(@_)"/>
    <numFmt numFmtId="172" formatCode="0.000%"/>
    <numFmt numFmtId="173" formatCode="_ [$R-1C09]\ * #,##0.00_ ;_ [$R-1C09]\ * \-#,##0.00_ ;_ [$R-1C09]\ * &quot;-&quot;??_ ;_ @_ "/>
  </numFmts>
  <fonts count="2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>
      <alignment wrapText="1"/>
    </xf>
    <xf numFmtId="165" fontId="8" fillId="0" borderId="0" applyFont="0" applyFill="0" applyBorder="0" applyAlignment="0" applyProtection="0">
      <alignment wrapText="1"/>
    </xf>
    <xf numFmtId="164" fontId="8" fillId="0" borderId="0" applyFont="0" applyFill="0" applyBorder="0" applyAlignment="0" applyProtection="0">
      <alignment wrapText="1"/>
    </xf>
    <xf numFmtId="0" fontId="9" fillId="0" borderId="0"/>
    <xf numFmtId="9" fontId="8" fillId="0" borderId="0" applyFont="0" applyFill="0" applyBorder="0" applyAlignment="0" applyProtection="0">
      <alignment wrapText="1"/>
    </xf>
    <xf numFmtId="0" fontId="7" fillId="0" borderId="0"/>
    <xf numFmtId="171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00">
    <xf numFmtId="0" fontId="0" fillId="0" borderId="0" xfId="0">
      <alignment wrapText="1"/>
    </xf>
    <xf numFmtId="0" fontId="11" fillId="2" borderId="0" xfId="0" applyFont="1" applyFill="1" applyAlignment="1" applyProtection="1">
      <alignment vertical="center"/>
      <protection hidden="1"/>
    </xf>
    <xf numFmtId="165" fontId="10" fillId="2" borderId="0" xfId="1" applyFont="1" applyFill="1" applyBorder="1" applyAlignment="1" applyProtection="1">
      <alignment vertical="center"/>
      <protection hidden="1"/>
    </xf>
    <xf numFmtId="166" fontId="10" fillId="2" borderId="0" xfId="4" applyNumberFormat="1" applyFont="1" applyFill="1" applyBorder="1" applyAlignment="1" applyProtection="1">
      <alignment vertical="center"/>
      <protection hidden="1"/>
    </xf>
    <xf numFmtId="0" fontId="10" fillId="2" borderId="0" xfId="3" applyFont="1" applyFill="1" applyAlignment="1" applyProtection="1">
      <alignment vertical="center"/>
      <protection hidden="1"/>
    </xf>
    <xf numFmtId="0" fontId="10" fillId="2" borderId="0" xfId="0" applyFont="1" applyFill="1" applyAlignment="1" applyProtection="1">
      <alignment vertical="center" wrapText="1"/>
      <protection hidden="1"/>
    </xf>
    <xf numFmtId="0" fontId="12" fillId="2" borderId="0" xfId="1" applyNumberFormat="1" applyFont="1" applyFill="1" applyBorder="1" applyAlignment="1" applyProtection="1">
      <alignment horizontal="left" vertical="center"/>
      <protection hidden="1"/>
    </xf>
    <xf numFmtId="0" fontId="10" fillId="2" borderId="0" xfId="3" applyFont="1" applyFill="1" applyAlignment="1" applyProtection="1">
      <alignment horizontal="left" vertical="center"/>
      <protection hidden="1"/>
    </xf>
    <xf numFmtId="167" fontId="10" fillId="2" borderId="0" xfId="3" applyNumberFormat="1" applyFont="1" applyFill="1" applyAlignment="1" applyProtection="1">
      <alignment vertical="center"/>
      <protection hidden="1"/>
    </xf>
    <xf numFmtId="168" fontId="13" fillId="3" borderId="1" xfId="2" applyNumberFormat="1" applyFont="1" applyFill="1" applyBorder="1" applyAlignment="1" applyProtection="1">
      <alignment horizontal="center" vertical="center"/>
      <protection locked="0"/>
    </xf>
    <xf numFmtId="0" fontId="10" fillId="2" borderId="0" xfId="1" applyNumberFormat="1" applyFont="1" applyFill="1" applyBorder="1" applyAlignment="1" applyProtection="1">
      <alignment horizontal="left" vertical="center"/>
      <protection hidden="1"/>
    </xf>
    <xf numFmtId="168" fontId="13" fillId="3" borderId="2" xfId="2" applyNumberFormat="1" applyFont="1" applyFill="1" applyBorder="1" applyAlignment="1" applyProtection="1">
      <alignment horizontal="center" vertical="center"/>
      <protection locked="0"/>
    </xf>
    <xf numFmtId="0" fontId="10" fillId="2" borderId="4" xfId="1" applyNumberFormat="1" applyFont="1" applyFill="1" applyBorder="1" applyAlignment="1" applyProtection="1">
      <alignment horizontal="left" vertical="center"/>
      <protection hidden="1"/>
    </xf>
    <xf numFmtId="10" fontId="13" fillId="3" borderId="1" xfId="1" applyNumberFormat="1" applyFont="1" applyFill="1" applyBorder="1" applyAlignment="1" applyProtection="1">
      <alignment horizontal="center" vertical="center"/>
      <protection locked="0"/>
    </xf>
    <xf numFmtId="1" fontId="13" fillId="3" borderId="1" xfId="1" applyNumberFormat="1" applyFont="1" applyFill="1" applyBorder="1" applyAlignment="1" applyProtection="1">
      <alignment horizontal="center" vertical="center"/>
      <protection locked="0"/>
    </xf>
    <xf numFmtId="166" fontId="13" fillId="3" borderId="1" xfId="4" applyNumberFormat="1" applyFont="1" applyFill="1" applyBorder="1" applyAlignment="1" applyProtection="1">
      <alignment horizontal="center" vertical="center"/>
      <protection locked="0"/>
    </xf>
    <xf numFmtId="14" fontId="13" fillId="3" borderId="1" xfId="1" applyNumberFormat="1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vertical="center"/>
      <protection hidden="1"/>
    </xf>
    <xf numFmtId="168" fontId="12" fillId="2" borderId="3" xfId="2" applyNumberFormat="1" applyFont="1" applyFill="1" applyBorder="1" applyAlignment="1" applyProtection="1">
      <alignment horizontal="center" vertical="center"/>
    </xf>
    <xf numFmtId="168" fontId="12" fillId="2" borderId="0" xfId="2" applyNumberFormat="1" applyFont="1" applyFill="1" applyBorder="1" applyAlignment="1" applyProtection="1">
      <alignment horizontal="center" vertical="center"/>
    </xf>
    <xf numFmtId="165" fontId="10" fillId="2" borderId="0" xfId="1" applyFont="1" applyFill="1" applyAlignment="1" applyProtection="1"/>
    <xf numFmtId="0" fontId="10" fillId="2" borderId="0" xfId="3" applyFont="1" applyFill="1" applyAlignment="1">
      <alignment horizontal="left"/>
    </xf>
    <xf numFmtId="167" fontId="10" fillId="2" borderId="0" xfId="3" applyNumberFormat="1" applyFont="1" applyFill="1"/>
    <xf numFmtId="165" fontId="10" fillId="2" borderId="0" xfId="1" applyFont="1" applyFill="1" applyBorder="1" applyAlignment="1" applyProtection="1"/>
    <xf numFmtId="166" fontId="10" fillId="2" borderId="0" xfId="4" applyNumberFormat="1" applyFont="1" applyFill="1" applyAlignment="1" applyProtection="1"/>
    <xf numFmtId="0" fontId="13" fillId="4" borderId="1" xfId="3" applyFont="1" applyFill="1" applyBorder="1" applyAlignment="1">
      <alignment horizontal="center" vertical="center" wrapText="1"/>
    </xf>
    <xf numFmtId="167" fontId="13" fillId="4" borderId="1" xfId="3" applyNumberFormat="1" applyFont="1" applyFill="1" applyBorder="1" applyAlignment="1">
      <alignment horizontal="center" vertical="center" wrapText="1"/>
    </xf>
    <xf numFmtId="165" fontId="13" fillId="4" borderId="1" xfId="1" applyFont="1" applyFill="1" applyBorder="1" applyAlignment="1" applyProtection="1">
      <alignment horizontal="center" vertical="center" wrapText="1"/>
    </xf>
    <xf numFmtId="166" fontId="13" fillId="4" borderId="1" xfId="4" applyNumberFormat="1" applyFont="1" applyFill="1" applyBorder="1" applyAlignment="1" applyProtection="1">
      <alignment horizontal="center" vertical="center" wrapText="1"/>
    </xf>
    <xf numFmtId="0" fontId="12" fillId="2" borderId="0" xfId="3" applyFont="1" applyFill="1" applyAlignment="1">
      <alignment horizontal="center" wrapText="1"/>
    </xf>
    <xf numFmtId="0" fontId="10" fillId="2" borderId="1" xfId="3" applyFont="1" applyFill="1" applyBorder="1" applyAlignment="1">
      <alignment horizontal="center"/>
    </xf>
    <xf numFmtId="169" fontId="10" fillId="2" borderId="1" xfId="3" applyNumberFormat="1" applyFont="1" applyFill="1" applyBorder="1" applyAlignment="1">
      <alignment horizontal="center"/>
    </xf>
    <xf numFmtId="168" fontId="10" fillId="2" borderId="1" xfId="1" applyNumberFormat="1" applyFont="1" applyFill="1" applyBorder="1" applyAlignment="1" applyProtection="1"/>
    <xf numFmtId="166" fontId="10" fillId="2" borderId="1" xfId="4" applyNumberFormat="1" applyFont="1" applyFill="1" applyBorder="1" applyAlignment="1" applyProtection="1">
      <alignment horizontal="center"/>
    </xf>
    <xf numFmtId="169" fontId="10" fillId="2" borderId="1" xfId="0" applyNumberFormat="1" applyFont="1" applyFill="1" applyBorder="1" applyAlignment="1">
      <alignment horizontal="center"/>
    </xf>
    <xf numFmtId="0" fontId="10" fillId="2" borderId="0" xfId="3" applyFont="1" applyFill="1"/>
    <xf numFmtId="0" fontId="10" fillId="2" borderId="0" xfId="0" applyFont="1" applyFill="1">
      <alignment wrapText="1"/>
    </xf>
    <xf numFmtId="0" fontId="15" fillId="2" borderId="0" xfId="0" applyFont="1" applyFill="1" applyAlignment="1"/>
    <xf numFmtId="0" fontId="10" fillId="2" borderId="0" xfId="0" applyFont="1" applyFill="1" applyAlignment="1"/>
    <xf numFmtId="168" fontId="10" fillId="2" borderId="0" xfId="0" applyNumberFormat="1" applyFont="1" applyFill="1">
      <alignment wrapText="1"/>
    </xf>
    <xf numFmtId="0" fontId="12" fillId="2" borderId="0" xfId="0" applyFont="1" applyFill="1">
      <alignment wrapText="1"/>
    </xf>
    <xf numFmtId="168" fontId="12" fillId="2" borderId="3" xfId="0" applyNumberFormat="1" applyFont="1" applyFill="1" applyBorder="1">
      <alignment wrapText="1"/>
    </xf>
    <xf numFmtId="0" fontId="12" fillId="2" borderId="0" xfId="0" applyFont="1" applyFill="1" applyAlignment="1"/>
    <xf numFmtId="168" fontId="13" fillId="4" borderId="1" xfId="0" applyNumberFormat="1" applyFont="1" applyFill="1" applyBorder="1">
      <alignment wrapText="1"/>
    </xf>
    <xf numFmtId="166" fontId="13" fillId="4" borderId="5" xfId="4" applyNumberFormat="1" applyFont="1" applyFill="1" applyBorder="1" applyAlignment="1" applyProtection="1">
      <alignment horizontal="center" vertical="center" wrapText="1"/>
    </xf>
    <xf numFmtId="166" fontId="10" fillId="2" borderId="5" xfId="4" applyNumberFormat="1" applyFont="1" applyFill="1" applyBorder="1" applyAlignment="1" applyProtection="1">
      <alignment horizontal="center"/>
    </xf>
    <xf numFmtId="0" fontId="10" fillId="0" borderId="0" xfId="1" applyNumberFormat="1" applyFont="1" applyFill="1" applyBorder="1" applyAlignment="1" applyProtection="1">
      <alignment horizontal="left" vertical="center"/>
      <protection hidden="1"/>
    </xf>
    <xf numFmtId="168" fontId="13" fillId="0" borderId="0" xfId="2" applyNumberFormat="1" applyFont="1" applyFill="1" applyBorder="1" applyAlignment="1" applyProtection="1">
      <alignment horizontal="center" vertical="center"/>
      <protection locked="0"/>
    </xf>
    <xf numFmtId="0" fontId="12" fillId="0" borderId="0" xfId="1" applyNumberFormat="1" applyFont="1" applyFill="1" applyBorder="1" applyAlignment="1" applyProtection="1">
      <alignment horizontal="left" vertical="center"/>
      <protection hidden="1"/>
    </xf>
    <xf numFmtId="168" fontId="12" fillId="0" borderId="0" xfId="2" applyNumberFormat="1" applyFont="1" applyFill="1" applyBorder="1" applyAlignment="1" applyProtection="1">
      <alignment horizontal="center" vertical="center"/>
    </xf>
    <xf numFmtId="165" fontId="10" fillId="0" borderId="0" xfId="1" applyFont="1" applyFill="1" applyBorder="1" applyAlignment="1" applyProtection="1">
      <alignment vertical="center"/>
      <protection hidden="1"/>
    </xf>
    <xf numFmtId="1" fontId="13" fillId="0" borderId="0" xfId="1" applyNumberFormat="1" applyFont="1" applyFill="1" applyBorder="1" applyAlignment="1" applyProtection="1">
      <alignment horizontal="center" vertical="center"/>
      <protection locked="0"/>
    </xf>
    <xf numFmtId="166" fontId="13" fillId="0" borderId="0" xfId="4" applyNumberFormat="1" applyFont="1" applyFill="1" applyBorder="1" applyAlignment="1" applyProtection="1">
      <alignment horizontal="center" vertical="center"/>
      <protection locked="0"/>
    </xf>
    <xf numFmtId="14" fontId="13" fillId="0" borderId="0" xfId="1" applyNumberFormat="1" applyFont="1" applyFill="1" applyBorder="1" applyAlignment="1" applyProtection="1">
      <alignment horizontal="center" vertical="center"/>
      <protection locked="0"/>
    </xf>
    <xf numFmtId="9" fontId="16" fillId="0" borderId="0" xfId="4" applyFont="1" applyFill="1" applyBorder="1" applyAlignment="1">
      <alignment horizontal="center" wrapText="1"/>
    </xf>
    <xf numFmtId="0" fontId="14" fillId="2" borderId="0" xfId="0" applyFont="1" applyFill="1" applyAlignment="1" applyProtection="1">
      <alignment horizontal="center" vertical="center"/>
      <protection hidden="1"/>
    </xf>
    <xf numFmtId="166" fontId="12" fillId="2" borderId="0" xfId="1" applyNumberFormat="1" applyFont="1" applyFill="1" applyBorder="1" applyAlignment="1" applyProtection="1">
      <alignment horizontal="center" vertical="center"/>
      <protection hidden="1"/>
    </xf>
    <xf numFmtId="3" fontId="10" fillId="2" borderId="0" xfId="3" applyNumberFormat="1" applyFont="1" applyFill="1" applyAlignment="1">
      <alignment horizontal="left"/>
    </xf>
    <xf numFmtId="3" fontId="0" fillId="0" borderId="0" xfId="0" applyNumberFormat="1">
      <alignment wrapText="1"/>
    </xf>
    <xf numFmtId="167" fontId="12" fillId="2" borderId="0" xfId="3" applyNumberFormat="1" applyFont="1" applyFill="1" applyAlignment="1" applyProtection="1">
      <alignment vertical="center"/>
      <protection hidden="1"/>
    </xf>
    <xf numFmtId="14" fontId="13" fillId="3" borderId="1" xfId="1" applyNumberFormat="1" applyFont="1" applyFill="1" applyBorder="1" applyAlignment="1" applyProtection="1">
      <alignment horizontal="center" vertical="center" wrapText="1"/>
      <protection locked="0"/>
    </xf>
    <xf numFmtId="165" fontId="12" fillId="2" borderId="0" xfId="1" applyFont="1" applyFill="1" applyBorder="1" applyAlignment="1" applyProtection="1">
      <alignment vertical="center"/>
      <protection hidden="1"/>
    </xf>
    <xf numFmtId="168" fontId="12" fillId="0" borderId="1" xfId="2" applyNumberFormat="1" applyFont="1" applyFill="1" applyBorder="1" applyAlignment="1" applyProtection="1">
      <alignment horizontal="center" vertical="center"/>
      <protection locked="0"/>
    </xf>
    <xf numFmtId="14" fontId="12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12" fillId="0" borderId="2" xfId="1" applyNumberFormat="1" applyFont="1" applyFill="1" applyBorder="1" applyAlignment="1" applyProtection="1">
      <alignment horizontal="center" vertical="center" wrapText="1"/>
      <protection locked="0"/>
    </xf>
    <xf numFmtId="167" fontId="15" fillId="2" borderId="0" xfId="3" applyNumberFormat="1" applyFont="1" applyFill="1" applyAlignment="1" applyProtection="1">
      <alignment vertical="center"/>
      <protection hidden="1"/>
    </xf>
    <xf numFmtId="9" fontId="12" fillId="2" borderId="9" xfId="4" applyFont="1" applyFill="1" applyBorder="1" applyAlignment="1" applyProtection="1">
      <alignment horizontal="center" vertical="center"/>
      <protection hidden="1"/>
    </xf>
    <xf numFmtId="9" fontId="12" fillId="2" borderId="10" xfId="4" applyFont="1" applyFill="1" applyBorder="1" applyAlignment="1" applyProtection="1">
      <alignment horizontal="center" vertical="center"/>
      <protection hidden="1"/>
    </xf>
    <xf numFmtId="9" fontId="12" fillId="2" borderId="11" xfId="4" applyFont="1" applyFill="1" applyBorder="1" applyAlignment="1" applyProtection="1">
      <alignment horizontal="center" vertical="center"/>
      <protection hidden="1"/>
    </xf>
    <xf numFmtId="9" fontId="13" fillId="3" borderId="1" xfId="4" applyFont="1" applyFill="1" applyBorder="1" applyAlignment="1" applyProtection="1">
      <alignment horizontal="center" vertical="center"/>
      <protection locked="0"/>
    </xf>
    <xf numFmtId="0" fontId="19" fillId="0" borderId="0" xfId="5" applyFont="1" applyProtection="1">
      <protection hidden="1"/>
    </xf>
    <xf numFmtId="0" fontId="7" fillId="0" borderId="0" xfId="5" applyProtection="1">
      <protection hidden="1"/>
    </xf>
    <xf numFmtId="0" fontId="0" fillId="0" borderId="0" xfId="0" applyProtection="1">
      <alignment wrapText="1"/>
      <protection hidden="1"/>
    </xf>
    <xf numFmtId="0" fontId="6" fillId="0" borderId="0" xfId="5" applyFont="1" applyProtection="1">
      <protection hidden="1"/>
    </xf>
    <xf numFmtId="3" fontId="13" fillId="4" borderId="1" xfId="3" applyNumberFormat="1" applyFont="1" applyFill="1" applyBorder="1" applyAlignment="1">
      <alignment horizontal="center" vertical="center" wrapText="1"/>
    </xf>
    <xf numFmtId="3" fontId="10" fillId="2" borderId="1" xfId="3" applyNumberFormat="1" applyFont="1" applyFill="1" applyBorder="1" applyAlignment="1">
      <alignment horizontal="center"/>
    </xf>
    <xf numFmtId="170" fontId="17" fillId="0" borderId="1" xfId="0" applyNumberFormat="1" applyFont="1" applyBorder="1" applyAlignment="1">
      <alignment horizontal="center" wrapText="1"/>
    </xf>
    <xf numFmtId="170" fontId="17" fillId="5" borderId="1" xfId="0" applyNumberFormat="1" applyFont="1" applyFill="1" applyBorder="1" applyAlignment="1">
      <alignment horizontal="center" wrapText="1"/>
    </xf>
    <xf numFmtId="0" fontId="5" fillId="0" borderId="0" xfId="5" applyFont="1" applyProtection="1">
      <protection hidden="1"/>
    </xf>
    <xf numFmtId="0" fontId="13" fillId="3" borderId="1" xfId="0" applyFont="1" applyFill="1" applyBorder="1" applyAlignment="1" applyProtection="1">
      <alignment horizontal="center" vertical="center"/>
      <protection locked="0" hidden="1"/>
    </xf>
    <xf numFmtId="14" fontId="0" fillId="0" borderId="0" xfId="0" applyNumberFormat="1">
      <alignment wrapText="1"/>
    </xf>
    <xf numFmtId="14" fontId="7" fillId="0" borderId="0" xfId="5" applyNumberFormat="1" applyProtection="1">
      <protection hidden="1"/>
    </xf>
    <xf numFmtId="168" fontId="12" fillId="0" borderId="1" xfId="2" applyNumberFormat="1" applyFont="1" applyFill="1" applyBorder="1" applyAlignment="1" applyProtection="1">
      <alignment horizontal="center" vertical="center"/>
    </xf>
    <xf numFmtId="0" fontId="4" fillId="0" borderId="0" xfId="5" applyFont="1" applyProtection="1">
      <protection hidden="1"/>
    </xf>
    <xf numFmtId="0" fontId="3" fillId="0" borderId="0" xfId="5" applyFont="1" applyProtection="1">
      <protection hidden="1"/>
    </xf>
    <xf numFmtId="166" fontId="16" fillId="3" borderId="1" xfId="4" applyNumberFormat="1" applyFont="1" applyFill="1" applyBorder="1" applyAlignment="1" applyProtection="1">
      <alignment horizontal="center" wrapText="1"/>
      <protection locked="0"/>
    </xf>
    <xf numFmtId="0" fontId="19" fillId="0" borderId="0" xfId="0" applyFont="1" applyAlignment="1"/>
    <xf numFmtId="0" fontId="18" fillId="6" borderId="7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0" fillId="0" borderId="0" xfId="0" applyAlignment="1"/>
    <xf numFmtId="173" fontId="0" fillId="0" borderId="8" xfId="0" applyNumberFormat="1" applyBorder="1" applyAlignment="1"/>
    <xf numFmtId="172" fontId="20" fillId="0" borderId="8" xfId="7" applyNumberFormat="1" applyFont="1" applyFill="1" applyBorder="1" applyAlignment="1">
      <alignment horizontal="center"/>
    </xf>
    <xf numFmtId="173" fontId="0" fillId="0" borderId="6" xfId="0" applyNumberFormat="1" applyBorder="1" applyAlignment="1"/>
    <xf numFmtId="172" fontId="20" fillId="0" borderId="6" xfId="7" applyNumberFormat="1" applyFont="1" applyFill="1" applyBorder="1" applyAlignment="1">
      <alignment horizontal="center"/>
    </xf>
    <xf numFmtId="0" fontId="2" fillId="0" borderId="0" xfId="5" applyFont="1" applyProtection="1">
      <protection hidden="1"/>
    </xf>
    <xf numFmtId="0" fontId="1" fillId="0" borderId="0" xfId="5" applyFont="1" applyProtection="1">
      <protection hidden="1"/>
    </xf>
    <xf numFmtId="165" fontId="10" fillId="2" borderId="0" xfId="1" applyFont="1" applyFill="1" applyBorder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vertical="center"/>
      <protection hidden="1"/>
    </xf>
    <xf numFmtId="167" fontId="12" fillId="2" borderId="0" xfId="3" applyNumberFormat="1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>
      <alignment horizontal="center" vertical="center"/>
    </xf>
  </cellXfs>
  <cellStyles count="8">
    <cellStyle name="Comma" xfId="1" builtinId="3"/>
    <cellStyle name="Comma 2" xfId="6" xr:uid="{71273686-5505-4EA8-81C1-EBBB00F4B3D5}"/>
    <cellStyle name="Currency" xfId="2" builtinId="4"/>
    <cellStyle name="Normal" xfId="0" builtinId="0"/>
    <cellStyle name="Normal 2" xfId="5" xr:uid="{6DBED174-FDA7-4D00-80AE-9EB806923A1F}"/>
    <cellStyle name="Normal_Amortisation" xfId="3" xr:uid="{00000000-0005-0000-0000-000003000000}"/>
    <cellStyle name="Percent" xfId="4" builtinId="5"/>
    <cellStyle name="Percent 2" xfId="7" xr:uid="{83B0DE8E-E1DA-41C0-9631-278E768563C9}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baseline="0"/>
              <a:t>MARKET VALUE VS SETTLEMENT VALUE ILLUSTRATION</a:t>
            </a:r>
          </a:p>
        </c:rich>
      </c:tx>
      <c:layout>
        <c:manualLayout>
          <c:xMode val="edge"/>
          <c:yMode val="edge"/>
          <c:x val="0.23841104502112614"/>
          <c:y val="2.225902259931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53623097740751E-2"/>
          <c:y val="7.1519778963355068E-2"/>
          <c:w val="0.64259030687634733"/>
          <c:h val="0.82279899330914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'Shortfall Illustration'!$H$3</c:f>
              <c:strCache>
                <c:ptCount val="1"/>
                <c:pt idx="0">
                  <c:v> Capital balance 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'Shortfall Illustration'!$A$4:$A$99</c:f>
              <c:numCache>
                <c:formatCode>#,##0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xVal>
          <c:yVal>
            <c:numRef>
              <c:f>'Shortfall Illustration'!$H$4:$H$99</c:f>
              <c:numCache>
                <c:formatCode>"R"#,##0.00</c:formatCode>
                <c:ptCount val="96"/>
                <c:pt idx="0">
                  <c:v>497939.33902937372</c:v>
                </c:pt>
                <c:pt idx="1">
                  <c:v>494641.21991651668</c:v>
                </c:pt>
                <c:pt idx="2">
                  <c:v>491312.86804512516</c:v>
                </c:pt>
                <c:pt idx="3">
                  <c:v>487954.0062815792</c:v>
                </c:pt>
                <c:pt idx="4">
                  <c:v>484564.35495186743</c:v>
                </c:pt>
                <c:pt idx="5">
                  <c:v>481143.63181829994</c:v>
                </c:pt>
                <c:pt idx="6">
                  <c:v>477691.55205600808</c:v>
                </c:pt>
                <c:pt idx="7">
                  <c:v>474207.82822922856</c:v>
                </c:pt>
                <c:pt idx="8">
                  <c:v>470692.17026737024</c:v>
                </c:pt>
                <c:pt idx="9">
                  <c:v>467144.28544086154</c:v>
                </c:pt>
                <c:pt idx="10">
                  <c:v>463563.87833677651</c:v>
                </c:pt>
                <c:pt idx="11">
                  <c:v>459950.65083423734</c:v>
                </c:pt>
                <c:pt idx="12">
                  <c:v>456304.30207959161</c:v>
                </c:pt>
                <c:pt idx="13">
                  <c:v>452624.52846136159</c:v>
                </c:pt>
                <c:pt idx="14">
                  <c:v>448911.02358496445</c:v>
                </c:pt>
                <c:pt idx="15">
                  <c:v>445163.47824720037</c:v>
                </c:pt>
                <c:pt idx="16">
                  <c:v>441381.58041050675</c:v>
                </c:pt>
                <c:pt idx="17">
                  <c:v>437565.0151769768</c:v>
                </c:pt>
                <c:pt idx="18">
                  <c:v>433713.46476213948</c:v>
                </c:pt>
                <c:pt idx="19">
                  <c:v>429826.6084684995</c:v>
                </c:pt>
                <c:pt idx="20">
                  <c:v>425904.1226588345</c:v>
                </c:pt>
                <c:pt idx="21">
                  <c:v>421945.68072924757</c:v>
                </c:pt>
                <c:pt idx="22">
                  <c:v>417950.95308197272</c:v>
                </c:pt>
                <c:pt idx="23">
                  <c:v>413919.60709793121</c:v>
                </c:pt>
                <c:pt idx="24">
                  <c:v>409851.30710903596</c:v>
                </c:pt>
                <c:pt idx="25">
                  <c:v>405745.71437024249</c:v>
                </c:pt>
                <c:pt idx="26">
                  <c:v>401602.48703134345</c:v>
                </c:pt>
                <c:pt idx="27">
                  <c:v>397421.28010850452</c:v>
                </c:pt>
                <c:pt idx="28">
                  <c:v>393201.74545553955</c:v>
                </c:pt>
                <c:pt idx="29">
                  <c:v>388943.53173492238</c:v>
                </c:pt>
                <c:pt idx="30">
                  <c:v>384646.28438853292</c:v>
                </c:pt>
                <c:pt idx="31">
                  <c:v>380309.64560813486</c:v>
                </c:pt>
                <c:pt idx="32">
                  <c:v>375933.25430558313</c:v>
                </c:pt>
                <c:pt idx="33">
                  <c:v>371516.74608275807</c:v>
                </c:pt>
                <c:pt idx="34">
                  <c:v>367059.75320122374</c:v>
                </c:pt>
                <c:pt idx="35">
                  <c:v>362561.90455160866</c:v>
                </c:pt>
                <c:pt idx="36">
                  <c:v>358022.82562270545</c:v>
                </c:pt>
                <c:pt idx="37">
                  <c:v>353442.13847028732</c:v>
                </c:pt>
                <c:pt idx="38">
                  <c:v>348819.4616856387</c:v>
                </c:pt>
                <c:pt idx="39">
                  <c:v>344154.41036379745</c:v>
                </c:pt>
                <c:pt idx="40">
                  <c:v>339446.59607150598</c:v>
                </c:pt>
                <c:pt idx="41">
                  <c:v>334695.62681486853</c:v>
                </c:pt>
                <c:pt idx="42">
                  <c:v>329901.10700671189</c:v>
                </c:pt>
                <c:pt idx="43">
                  <c:v>325062.63743364712</c:v>
                </c:pt>
                <c:pt idx="44">
                  <c:v>320179.81522282929</c:v>
                </c:pt>
                <c:pt idx="45">
                  <c:v>315252.23380841227</c:v>
                </c:pt>
                <c:pt idx="46">
                  <c:v>310279.48289769643</c:v>
                </c:pt>
                <c:pt idx="47">
                  <c:v>305261.14843696571</c:v>
                </c:pt>
                <c:pt idx="48">
                  <c:v>300196.81257701165</c:v>
                </c:pt>
                <c:pt idx="49">
                  <c:v>295086.05363834131</c:v>
                </c:pt>
                <c:pt idx="50">
                  <c:v>289928.44607606652</c:v>
                </c:pt>
                <c:pt idx="51">
                  <c:v>284723.56044447084</c:v>
                </c:pt>
                <c:pt idx="52">
                  <c:v>279470.96336125222</c:v>
                </c:pt>
                <c:pt idx="53">
                  <c:v>274170.21747143741</c:v>
                </c:pt>
                <c:pt idx="54">
                  <c:v>268820.88141096599</c:v>
                </c:pt>
                <c:pt idx="55">
                  <c:v>263422.50976994022</c:v>
                </c:pt>
                <c:pt idx="56">
                  <c:v>257974.65305553842</c:v>
                </c:pt>
                <c:pt idx="57">
                  <c:v>252476.85765458792</c:v>
                </c:pt>
                <c:pt idx="58">
                  <c:v>246928.66579579539</c:v>
                </c:pt>
                <c:pt idx="59">
                  <c:v>241329.61551163057</c:v>
                </c:pt>
                <c:pt idx="60">
                  <c:v>235679.24059986093</c:v>
                </c:pt>
                <c:pt idx="61">
                  <c:v>229977.07058473339</c:v>
                </c:pt>
                <c:pt idx="62">
                  <c:v>224222.63067780051</c:v>
                </c:pt>
                <c:pt idx="63">
                  <c:v>218415.44173838742</c:v>
                </c:pt>
                <c:pt idx="64">
                  <c:v>212555.02023369638</c:v>
                </c:pt>
                <c:pt idx="65">
                  <c:v>206640.87819854566</c:v>
                </c:pt>
                <c:pt idx="66">
                  <c:v>200672.52319473939</c:v>
                </c:pt>
                <c:pt idx="67">
                  <c:v>194649.4582700649</c:v>
                </c:pt>
                <c:pt idx="68">
                  <c:v>188571.18191691424</c:v>
                </c:pt>
                <c:pt idx="69">
                  <c:v>182437.18803052636</c:v>
                </c:pt>
                <c:pt idx="70">
                  <c:v>176246.96586684659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69-448B-9C83-D962EF634BD2}"/>
            </c:ext>
          </c:extLst>
        </c:ser>
        <c:ser>
          <c:idx val="1"/>
          <c:order val="1"/>
          <c:tx>
            <c:strRef>
              <c:f>'Shortfall Illustration'!$M$3</c:f>
              <c:strCache>
                <c:ptCount val="1"/>
                <c:pt idx="0">
                  <c:v> Market Value less Excess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'Shortfall Illustration'!$A$4:$A$99</c:f>
              <c:numCache>
                <c:formatCode>#,##0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xVal>
          <c:yVal>
            <c:numRef>
              <c:f>'Shortfall Illustration'!$M$4:$M$99</c:f>
              <c:numCache>
                <c:formatCode>"R"\ #,##0.00</c:formatCode>
                <c:ptCount val="96"/>
                <c:pt idx="0">
                  <c:v>475000</c:v>
                </c:pt>
                <c:pt idx="1">
                  <c:v>470630</c:v>
                </c:pt>
                <c:pt idx="2">
                  <c:v>466300.20400000003</c:v>
                </c:pt>
                <c:pt idx="3">
                  <c:v>442705.41367760004</c:v>
                </c:pt>
                <c:pt idx="4">
                  <c:v>438632.52387176611</c:v>
                </c:pt>
                <c:pt idx="5">
                  <c:v>434597.10465214588</c:v>
                </c:pt>
                <c:pt idx="6">
                  <c:v>430598.81128934614</c:v>
                </c:pt>
                <c:pt idx="7">
                  <c:v>426637.30222548416</c:v>
                </c:pt>
                <c:pt idx="8">
                  <c:v>422712.23904500972</c:v>
                </c:pt>
                <c:pt idx="9">
                  <c:v>418823.28644579562</c:v>
                </c:pt>
                <c:pt idx="10">
                  <c:v>414970.11221049429</c:v>
                </c:pt>
                <c:pt idx="11">
                  <c:v>411152.38717815775</c:v>
                </c:pt>
                <c:pt idx="12">
                  <c:v>390594.76781924983</c:v>
                </c:pt>
                <c:pt idx="13">
                  <c:v>387665.3070606055</c:v>
                </c:pt>
                <c:pt idx="14">
                  <c:v>384757.81725765095</c:v>
                </c:pt>
                <c:pt idx="15">
                  <c:v>373215.0827399214</c:v>
                </c:pt>
                <c:pt idx="16">
                  <c:v>370415.96961937199</c:v>
                </c:pt>
                <c:pt idx="17">
                  <c:v>367637.84984722669</c:v>
                </c:pt>
                <c:pt idx="18">
                  <c:v>364880.56597337249</c:v>
                </c:pt>
                <c:pt idx="19">
                  <c:v>362143.96172857221</c:v>
                </c:pt>
                <c:pt idx="20">
                  <c:v>359427.88201560796</c:v>
                </c:pt>
                <c:pt idx="21">
                  <c:v>356732.17290049093</c:v>
                </c:pt>
                <c:pt idx="22">
                  <c:v>354056.68160373729</c:v>
                </c:pt>
                <c:pt idx="23">
                  <c:v>351401.25649170927</c:v>
                </c:pt>
                <c:pt idx="24">
                  <c:v>348180.07830720191</c:v>
                </c:pt>
                <c:pt idx="25">
                  <c:v>344988.42758938589</c:v>
                </c:pt>
                <c:pt idx="26">
                  <c:v>341826.0336698165</c:v>
                </c:pt>
                <c:pt idx="27">
                  <c:v>338692.62836117652</c:v>
                </c:pt>
                <c:pt idx="28">
                  <c:v>335587.94593453238</c:v>
                </c:pt>
                <c:pt idx="29">
                  <c:v>332511.72309679916</c:v>
                </c:pt>
                <c:pt idx="30">
                  <c:v>329463.69896841183</c:v>
                </c:pt>
                <c:pt idx="31">
                  <c:v>326443.61506120139</c:v>
                </c:pt>
                <c:pt idx="32">
                  <c:v>323451.21525647369</c:v>
                </c:pt>
                <c:pt idx="33">
                  <c:v>320486.24578328937</c:v>
                </c:pt>
                <c:pt idx="34">
                  <c:v>317548.45519694255</c:v>
                </c:pt>
                <c:pt idx="35">
                  <c:v>314637.59435763722</c:v>
                </c:pt>
                <c:pt idx="36">
                  <c:v>311753.41640935891</c:v>
                </c:pt>
                <c:pt idx="37">
                  <c:v>308895.67675893981</c:v>
                </c:pt>
                <c:pt idx="38">
                  <c:v>306064.13305531617</c:v>
                </c:pt>
                <c:pt idx="39">
                  <c:v>303258.54516897578</c:v>
                </c:pt>
                <c:pt idx="40">
                  <c:v>300478.6751715935</c:v>
                </c:pt>
                <c:pt idx="41">
                  <c:v>297724.28731585387</c:v>
                </c:pt>
                <c:pt idx="42">
                  <c:v>294995.14801545854</c:v>
                </c:pt>
                <c:pt idx="43">
                  <c:v>292291.02582531684</c:v>
                </c:pt>
                <c:pt idx="44">
                  <c:v>289611.69142191811</c:v>
                </c:pt>
                <c:pt idx="45">
                  <c:v>286956.91758388386</c:v>
                </c:pt>
                <c:pt idx="46">
                  <c:v>284326.47917269828</c:v>
                </c:pt>
                <c:pt idx="47">
                  <c:v>281720.15311361523</c:v>
                </c:pt>
                <c:pt idx="48">
                  <c:v>279137.71837674041</c:v>
                </c:pt>
                <c:pt idx="49">
                  <c:v>276578.95595828694</c:v>
                </c:pt>
                <c:pt idx="50">
                  <c:v>274043.64886200265</c:v>
                </c:pt>
                <c:pt idx="51">
                  <c:v>271531.58208076761</c:v>
                </c:pt>
                <c:pt idx="52">
                  <c:v>269042.54257836059</c:v>
                </c:pt>
                <c:pt idx="53">
                  <c:v>266576.31927139231</c:v>
                </c:pt>
                <c:pt idx="54">
                  <c:v>264132.70301140455</c:v>
                </c:pt>
                <c:pt idx="55">
                  <c:v>261711.48656713334</c:v>
                </c:pt>
                <c:pt idx="56">
                  <c:v>259312.46460693461</c:v>
                </c:pt>
                <c:pt idx="57">
                  <c:v>256935.43368137104</c:v>
                </c:pt>
                <c:pt idx="58">
                  <c:v>254580.19220595848</c:v>
                </c:pt>
                <c:pt idx="59">
                  <c:v>252246.54044407053</c:v>
                </c:pt>
                <c:pt idx="60">
                  <c:v>250144.48594036995</c:v>
                </c:pt>
                <c:pt idx="61">
                  <c:v>248059.94855753356</c:v>
                </c:pt>
                <c:pt idx="62">
                  <c:v>245992.78231955413</c:v>
                </c:pt>
                <c:pt idx="63">
                  <c:v>243942.84246689119</c:v>
                </c:pt>
                <c:pt idx="64">
                  <c:v>241909.98544633377</c:v>
                </c:pt>
                <c:pt idx="65">
                  <c:v>239894.06890094766</c:v>
                </c:pt>
                <c:pt idx="66">
                  <c:v>237894.95166010645</c:v>
                </c:pt>
                <c:pt idx="67">
                  <c:v>235912.49372960557</c:v>
                </c:pt>
                <c:pt idx="68">
                  <c:v>233946.55628185888</c:v>
                </c:pt>
                <c:pt idx="69">
                  <c:v>231997.00164617674</c:v>
                </c:pt>
                <c:pt idx="70">
                  <c:v>230063.69329912527</c:v>
                </c:pt>
                <c:pt idx="71">
                  <c:v>228146.49585496591</c:v>
                </c:pt>
                <c:pt idx="72">
                  <c:v>226245.27505617452</c:v>
                </c:pt>
                <c:pt idx="73">
                  <c:v>224359.89776403975</c:v>
                </c:pt>
                <c:pt idx="74">
                  <c:v>222490.23194933942</c:v>
                </c:pt>
                <c:pt idx="75">
                  <c:v>220636.14668309494</c:v>
                </c:pt>
                <c:pt idx="76">
                  <c:v>218797.51212740247</c:v>
                </c:pt>
                <c:pt idx="77">
                  <c:v>216974.19952634079</c:v>
                </c:pt>
                <c:pt idx="78">
                  <c:v>215166.08119695462</c:v>
                </c:pt>
                <c:pt idx="79">
                  <c:v>213373.03052031333</c:v>
                </c:pt>
                <c:pt idx="80">
                  <c:v>211594.92193264407</c:v>
                </c:pt>
                <c:pt idx="81">
                  <c:v>209831.63091653871</c:v>
                </c:pt>
                <c:pt idx="82">
                  <c:v>208083.03399223421</c:v>
                </c:pt>
                <c:pt idx="83">
                  <c:v>206349.00870896559</c:v>
                </c:pt>
                <c:pt idx="84">
                  <c:v>204629.43363639087</c:v>
                </c:pt>
                <c:pt idx="85">
                  <c:v>202924.1883560876</c:v>
                </c:pt>
                <c:pt idx="86">
                  <c:v>201233.15345312021</c:v>
                </c:pt>
                <c:pt idx="87">
                  <c:v>199556.21050767755</c:v>
                </c:pt>
                <c:pt idx="88">
                  <c:v>197893.24208678023</c:v>
                </c:pt>
                <c:pt idx="89">
                  <c:v>196244.13173605705</c:v>
                </c:pt>
                <c:pt idx="90">
                  <c:v>194608.76397158991</c:v>
                </c:pt>
                <c:pt idx="91">
                  <c:v>192987.02427182667</c:v>
                </c:pt>
                <c:pt idx="92">
                  <c:v>191378.79906956144</c:v>
                </c:pt>
                <c:pt idx="93">
                  <c:v>189783.97574398178</c:v>
                </c:pt>
                <c:pt idx="94">
                  <c:v>188202.44261278195</c:v>
                </c:pt>
                <c:pt idx="95">
                  <c:v>186634.0889243421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69-448B-9C83-D962EF634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4383"/>
        <c:axId val="197770270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'Shortfall Illustration'!$N$3</c15:sqref>
                        </c15:formulaRef>
                      </c:ext>
                    </c:extLst>
                    <c:strCache>
                      <c:ptCount val="1"/>
                      <c:pt idx="0">
                        <c:v> Illustration of Shortfall Benefit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'Shortfall Illustration'!$A$4:$A$87</c15:sqref>
                        </c15:formulaRef>
                      </c:ext>
                    </c:extLst>
                    <c:numCache>
                      <c:formatCode>#,##0</c:formatCode>
                      <c:ptCount val="8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'Shortfall Illustration'!$N$4:$N$87</c15:sqref>
                        </c15:formulaRef>
                      </c:ext>
                    </c:extLst>
                    <c:numCache>
                      <c:formatCode>"R"\ #,##0.00</c:formatCode>
                      <c:ptCount val="84"/>
                      <c:pt idx="0">
                        <c:v>22939.339029373717</c:v>
                      </c:pt>
                      <c:pt idx="1">
                        <c:v>24011.219916516682</c:v>
                      </c:pt>
                      <c:pt idx="2">
                        <c:v>25012.66404512513</c:v>
                      </c:pt>
                      <c:pt idx="3">
                        <c:v>45248.592603979167</c:v>
                      </c:pt>
                      <c:pt idx="4">
                        <c:v>45931.831080101314</c:v>
                      </c:pt>
                      <c:pt idx="5">
                        <c:v>46546.527166154061</c:v>
                      </c:pt>
                      <c:pt idx="6">
                        <c:v>47092.74076666194</c:v>
                      </c:pt>
                      <c:pt idx="7">
                        <c:v>47570.526003744395</c:v>
                      </c:pt>
                      <c:pt idx="8">
                        <c:v>47979.931222360523</c:v>
                      </c:pt>
                      <c:pt idx="9">
                        <c:v>48320.998995065922</c:v>
                      </c:pt>
                      <c:pt idx="10">
                        <c:v>48593.766126282222</c:v>
                      </c:pt>
                      <c:pt idx="11">
                        <c:v>48798.263656079595</c:v>
                      </c:pt>
                      <c:pt idx="12">
                        <c:v>65709.534260341781</c:v>
                      </c:pt>
                      <c:pt idx="13">
                        <c:v>64959.221400756098</c:v>
                      </c:pt>
                      <c:pt idx="14">
                        <c:v>64153.206327313499</c:v>
                      </c:pt>
                      <c:pt idx="15">
                        <c:v>71948.395507278969</c:v>
                      </c:pt>
                      <c:pt idx="16">
                        <c:v>70965.610791134764</c:v>
                      </c:pt>
                      <c:pt idx="17">
                        <c:v>69927.165329750103</c:v>
                      </c:pt>
                      <c:pt idx="18">
                        <c:v>68832.898788766994</c:v>
                      </c:pt>
                      <c:pt idx="19">
                        <c:v>67682.646739927295</c:v>
                      </c:pt>
                      <c:pt idx="20">
                        <c:v>66476.240643226542</c:v>
                      </c:pt>
                      <c:pt idx="21">
                        <c:v>65213.507828756643</c:v>
                      </c:pt>
                      <c:pt idx="22">
                        <c:v>63894.271478235431</c:v>
                      </c:pt>
                      <c:pt idx="23">
                        <c:v>62518.350606221939</c:v>
                      </c:pt>
                      <c:pt idx="24">
                        <c:v>61671.228801834048</c:v>
                      </c:pt>
                      <c:pt idx="25">
                        <c:v>60757.286780856608</c:v>
                      </c:pt>
                      <c:pt idx="26">
                        <c:v>59776.453361526947</c:v>
                      </c:pt>
                      <c:pt idx="27">
                        <c:v>58728.651747327996</c:v>
                      </c:pt>
                      <c:pt idx="28">
                        <c:v>57613.799521007168</c:v>
                      </c:pt>
                      <c:pt idx="29">
                        <c:v>56431.808638123213</c:v>
                      </c:pt>
                      <c:pt idx="30">
                        <c:v>55182.58542012109</c:v>
                      </c:pt>
                      <c:pt idx="31">
                        <c:v>53866.030546933471</c:v>
                      </c:pt>
                      <c:pt idx="32">
                        <c:v>52482.039049109444</c:v>
                      </c:pt>
                      <c:pt idx="33">
                        <c:v>51030.500299468695</c:v>
                      </c:pt>
                      <c:pt idx="34">
                        <c:v>49511.298004281183</c:v>
                      </c:pt>
                      <c:pt idx="35">
                        <c:v>47924.31019397144</c:v>
                      </c:pt>
                      <c:pt idx="36">
                        <c:v>46269.409213346546</c:v>
                      </c:pt>
                      <c:pt idx="37">
                        <c:v>44546.461711347511</c:v>
                      </c:pt>
                      <c:pt idx="38">
                        <c:v>42755.328630322532</c:v>
                      </c:pt>
                      <c:pt idx="39">
                        <c:v>40895.865194821672</c:v>
                      </c:pt>
                      <c:pt idx="40">
                        <c:v>38967.920899912482</c:v>
                      </c:pt>
                      <c:pt idx="41">
                        <c:v>36971.339499014663</c:v>
                      </c:pt>
                      <c:pt idx="42">
                        <c:v>34905.958991253341</c:v>
                      </c:pt>
                      <c:pt idx="43">
                        <c:v>32771.611608330277</c:v>
                      </c:pt>
                      <c:pt idx="44">
                        <c:v>30568.123800911184</c:v>
                      </c:pt>
                      <c:pt idx="45">
                        <c:v>28295.316224528418</c:v>
                      </c:pt>
                      <c:pt idx="46">
                        <c:v>25953.003724998154</c:v>
                      </c:pt>
                      <c:pt idx="47">
                        <c:v>23540.995323350478</c:v>
                      </c:pt>
                      <c:pt idx="48">
                        <c:v>21059.09420027124</c:v>
                      </c:pt>
                      <c:pt idx="49">
                        <c:v>18507.097680054372</c:v>
                      </c:pt>
                      <c:pt idx="50">
                        <c:v>15884.797214063874</c:v>
                      </c:pt>
                      <c:pt idx="51">
                        <c:v>13191.978363703238</c:v>
                      </c:pt>
                      <c:pt idx="52">
                        <c:v>10428.420782891626</c:v>
                      </c:pt>
                      <c:pt idx="53">
                        <c:v>7593.8982000451069</c:v>
                      </c:pt>
                      <c:pt idx="54">
                        <c:v>4688.1783995614387</c:v>
                      </c:pt>
                      <c:pt idx="55">
                        <c:v>1711.0232028068858</c:v>
                      </c:pt>
                      <c:pt idx="56">
                        <c:v>-1337.811551396182</c:v>
                      </c:pt>
                      <c:pt idx="57">
                        <c:v>-4458.5760267831211</c:v>
                      </c:pt>
                      <c:pt idx="58">
                        <c:v>-7651.5264101630892</c:v>
                      </c:pt>
                      <c:pt idx="59">
                        <c:v>-10916.924932439957</c:v>
                      </c:pt>
                      <c:pt idx="60">
                        <c:v>-14465.24534050902</c:v>
                      </c:pt>
                      <c:pt idx="61">
                        <c:v>-18082.877972800168</c:v>
                      </c:pt>
                      <c:pt idx="62">
                        <c:v>-21770.151641753619</c:v>
                      </c:pt>
                      <c:pt idx="63">
                        <c:v>-25527.400728503766</c:v>
                      </c:pt>
                      <c:pt idx="64">
                        <c:v>-29354.965212637384</c:v>
                      </c:pt>
                      <c:pt idx="65">
                        <c:v>-33253.190702402004</c:v>
                      </c:pt>
                      <c:pt idx="66">
                        <c:v>-37222.428465367062</c:v>
                      </c:pt>
                      <c:pt idx="67">
                        <c:v>-41263.035459540668</c:v>
                      </c:pt>
                      <c:pt idx="68">
                        <c:v>-45375.374364944641</c:v>
                      </c:pt>
                      <c:pt idx="69">
                        <c:v>-49559.813615650375</c:v>
                      </c:pt>
                      <c:pt idx="70">
                        <c:v>-53816.727432278683</c:v>
                      </c:pt>
                      <c:pt idx="71">
                        <c:v>-228146.49585496591</c:v>
                      </c:pt>
                      <c:pt idx="72">
                        <c:v>-226245.27505617452</c:v>
                      </c:pt>
                      <c:pt idx="73">
                        <c:v>-224359.89776403975</c:v>
                      </c:pt>
                      <c:pt idx="74">
                        <c:v>-222490.23194933942</c:v>
                      </c:pt>
                      <c:pt idx="75">
                        <c:v>-220636.14668309494</c:v>
                      </c:pt>
                      <c:pt idx="76">
                        <c:v>-218797.51212740247</c:v>
                      </c:pt>
                      <c:pt idx="77">
                        <c:v>-216974.19952634079</c:v>
                      </c:pt>
                      <c:pt idx="78">
                        <c:v>-215166.08119695462</c:v>
                      </c:pt>
                      <c:pt idx="79">
                        <c:v>-213373.03052031333</c:v>
                      </c:pt>
                      <c:pt idx="80">
                        <c:v>-211594.92193264407</c:v>
                      </c:pt>
                      <c:pt idx="81">
                        <c:v>-209831.63091653871</c:v>
                      </c:pt>
                      <c:pt idx="82">
                        <c:v>-208083.03399223421</c:v>
                      </c:pt>
                      <c:pt idx="83">
                        <c:v>-206349.00870896559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487-44FD-8777-4512F5D6DDD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'Shortfall Illustration'!$P$3</c15:sqref>
                        </c15:formulaRef>
                      </c:ext>
                    </c:extLst>
                    <c:strCache>
                      <c:ptCount val="1"/>
                      <c:pt idx="0">
                        <c:v> Shortfall Benefit Plus Loyalty Bonus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'Shortfall Illustration'!$A$4:$A$87</c15:sqref>
                        </c15:formulaRef>
                      </c:ext>
                    </c:extLst>
                    <c:numCache>
                      <c:formatCode>#,##0</c:formatCode>
                      <c:ptCount val="8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'Shortfall Illustration'!$P$4:$P$87</c15:sqref>
                        </c15:formulaRef>
                      </c:ext>
                    </c:extLst>
                    <c:numCache>
                      <c:formatCode>"R"\ #,##0.00</c:formatCode>
                      <c:ptCount val="84"/>
                      <c:pt idx="0">
                        <c:v>37939.339029373717</c:v>
                      </c:pt>
                      <c:pt idx="1">
                        <c:v>39011.219916516682</c:v>
                      </c:pt>
                      <c:pt idx="2">
                        <c:v>40012.66404512513</c:v>
                      </c:pt>
                      <c:pt idx="3">
                        <c:v>60248.592603979167</c:v>
                      </c:pt>
                      <c:pt idx="4">
                        <c:v>60931.831080101314</c:v>
                      </c:pt>
                      <c:pt idx="5">
                        <c:v>61546.527166154061</c:v>
                      </c:pt>
                      <c:pt idx="6">
                        <c:v>62092.74076666194</c:v>
                      </c:pt>
                      <c:pt idx="7">
                        <c:v>62570.526003744395</c:v>
                      </c:pt>
                      <c:pt idx="8">
                        <c:v>62979.931222360523</c:v>
                      </c:pt>
                      <c:pt idx="9">
                        <c:v>63320.998995065922</c:v>
                      </c:pt>
                      <c:pt idx="10">
                        <c:v>63593.766126282222</c:v>
                      </c:pt>
                      <c:pt idx="11">
                        <c:v>63798.263656079595</c:v>
                      </c:pt>
                      <c:pt idx="12">
                        <c:v>80709.534260341781</c:v>
                      </c:pt>
                      <c:pt idx="13">
                        <c:v>79959.221400756098</c:v>
                      </c:pt>
                      <c:pt idx="14">
                        <c:v>79153.206327313499</c:v>
                      </c:pt>
                      <c:pt idx="15">
                        <c:v>86948.395507278969</c:v>
                      </c:pt>
                      <c:pt idx="16">
                        <c:v>85965.610791134764</c:v>
                      </c:pt>
                      <c:pt idx="17">
                        <c:v>84927.165329750103</c:v>
                      </c:pt>
                      <c:pt idx="18">
                        <c:v>83832.898788766994</c:v>
                      </c:pt>
                      <c:pt idx="19">
                        <c:v>82682.646739927295</c:v>
                      </c:pt>
                      <c:pt idx="20">
                        <c:v>81476.240643226542</c:v>
                      </c:pt>
                      <c:pt idx="21">
                        <c:v>80213.507828756643</c:v>
                      </c:pt>
                      <c:pt idx="22">
                        <c:v>78894.271478235431</c:v>
                      </c:pt>
                      <c:pt idx="23">
                        <c:v>77518.350606221939</c:v>
                      </c:pt>
                      <c:pt idx="24">
                        <c:v>76671.228801834048</c:v>
                      </c:pt>
                      <c:pt idx="25">
                        <c:v>75757.286780856608</c:v>
                      </c:pt>
                      <c:pt idx="26">
                        <c:v>74776.453361526947</c:v>
                      </c:pt>
                      <c:pt idx="27">
                        <c:v>73728.651747327996</c:v>
                      </c:pt>
                      <c:pt idx="28">
                        <c:v>72613.799521007168</c:v>
                      </c:pt>
                      <c:pt idx="29">
                        <c:v>71431.808638123213</c:v>
                      </c:pt>
                      <c:pt idx="30">
                        <c:v>70182.58542012109</c:v>
                      </c:pt>
                      <c:pt idx="31">
                        <c:v>68866.030546933471</c:v>
                      </c:pt>
                      <c:pt idx="32">
                        <c:v>67482.039049109444</c:v>
                      </c:pt>
                      <c:pt idx="33">
                        <c:v>66030.500299468695</c:v>
                      </c:pt>
                      <c:pt idx="34">
                        <c:v>64511.298004281183</c:v>
                      </c:pt>
                      <c:pt idx="35">
                        <c:v>62924.31019397144</c:v>
                      </c:pt>
                      <c:pt idx="36">
                        <c:v>61269.409213346546</c:v>
                      </c:pt>
                      <c:pt idx="37">
                        <c:v>59546.461711347511</c:v>
                      </c:pt>
                      <c:pt idx="38">
                        <c:v>57755.328630322532</c:v>
                      </c:pt>
                      <c:pt idx="39">
                        <c:v>55895.865194821672</c:v>
                      </c:pt>
                      <c:pt idx="40">
                        <c:v>53967.920899912482</c:v>
                      </c:pt>
                      <c:pt idx="41">
                        <c:v>51971.339499014663</c:v>
                      </c:pt>
                      <c:pt idx="42">
                        <c:v>49905.958991253341</c:v>
                      </c:pt>
                      <c:pt idx="43">
                        <c:v>47771.611608330277</c:v>
                      </c:pt>
                      <c:pt idx="44">
                        <c:v>45568.123800911184</c:v>
                      </c:pt>
                      <c:pt idx="45">
                        <c:v>43295.316224528418</c:v>
                      </c:pt>
                      <c:pt idx="46">
                        <c:v>40953.003724998154</c:v>
                      </c:pt>
                      <c:pt idx="47">
                        <c:v>38540.995323350478</c:v>
                      </c:pt>
                      <c:pt idx="48">
                        <c:v>36059.09420027124</c:v>
                      </c:pt>
                      <c:pt idx="49">
                        <c:v>33507.097680054372</c:v>
                      </c:pt>
                      <c:pt idx="50">
                        <c:v>30884.797214063874</c:v>
                      </c:pt>
                      <c:pt idx="51">
                        <c:v>28191.978363703238</c:v>
                      </c:pt>
                      <c:pt idx="52">
                        <c:v>25428.420782891626</c:v>
                      </c:pt>
                      <c:pt idx="53">
                        <c:v>22593.898200045107</c:v>
                      </c:pt>
                      <c:pt idx="54">
                        <c:v>19688.178399561439</c:v>
                      </c:pt>
                      <c:pt idx="55">
                        <c:v>16711.023202806886</c:v>
                      </c:pt>
                      <c:pt idx="56">
                        <c:v>15000</c:v>
                      </c:pt>
                      <c:pt idx="57">
                        <c:v>15000</c:v>
                      </c:pt>
                      <c:pt idx="58">
                        <c:v>15000</c:v>
                      </c:pt>
                      <c:pt idx="59">
                        <c:v>15000</c:v>
                      </c:pt>
                      <c:pt idx="60">
                        <c:v>15000</c:v>
                      </c:pt>
                      <c:pt idx="61">
                        <c:v>15000</c:v>
                      </c:pt>
                      <c:pt idx="62">
                        <c:v>15000</c:v>
                      </c:pt>
                      <c:pt idx="63">
                        <c:v>15000</c:v>
                      </c:pt>
                      <c:pt idx="64">
                        <c:v>15000</c:v>
                      </c:pt>
                      <c:pt idx="65">
                        <c:v>15000</c:v>
                      </c:pt>
                      <c:pt idx="66">
                        <c:v>15000</c:v>
                      </c:pt>
                      <c:pt idx="67">
                        <c:v>15000</c:v>
                      </c:pt>
                      <c:pt idx="68">
                        <c:v>15000</c:v>
                      </c:pt>
                      <c:pt idx="69">
                        <c:v>15000</c:v>
                      </c:pt>
                      <c:pt idx="70">
                        <c:v>15000</c:v>
                      </c:pt>
                      <c:pt idx="71">
                        <c:v>15000</c:v>
                      </c:pt>
                      <c:pt idx="72">
                        <c:v>15000</c:v>
                      </c:pt>
                      <c:pt idx="73">
                        <c:v>15000</c:v>
                      </c:pt>
                      <c:pt idx="74">
                        <c:v>15000</c:v>
                      </c:pt>
                      <c:pt idx="75">
                        <c:v>15000</c:v>
                      </c:pt>
                      <c:pt idx="76">
                        <c:v>15000</c:v>
                      </c:pt>
                      <c:pt idx="77">
                        <c:v>15000</c:v>
                      </c:pt>
                      <c:pt idx="78">
                        <c:v>15000</c:v>
                      </c:pt>
                      <c:pt idx="79">
                        <c:v>15000</c:v>
                      </c:pt>
                      <c:pt idx="80">
                        <c:v>15000</c:v>
                      </c:pt>
                      <c:pt idx="81">
                        <c:v>15000</c:v>
                      </c:pt>
                      <c:pt idx="82">
                        <c:v>15000</c:v>
                      </c:pt>
                      <c:pt idx="83">
                        <c:v>15000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487-44FD-8777-4512F5D6DDD4}"/>
                  </c:ext>
                </c:extLst>
              </c15:ser>
            </c15:filteredScatterSeries>
          </c:ext>
        </c:extLst>
      </c:scatterChart>
      <c:valAx>
        <c:axId val="35944383"/>
        <c:scaling>
          <c:orientation val="minMax"/>
          <c:max val="9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FINANCE</a:t>
                </a:r>
                <a:r>
                  <a:rPr lang="en-ZA" baseline="0"/>
                  <a:t> </a:t>
                </a:r>
                <a:r>
                  <a:rPr lang="en-ZA" sz="1400" baseline="0"/>
                  <a:t>TERM</a:t>
                </a:r>
                <a:endParaRPr lang="en-ZA" sz="1400"/>
              </a:p>
            </c:rich>
          </c:tx>
          <c:layout>
            <c:manualLayout>
              <c:xMode val="edge"/>
              <c:yMode val="edge"/>
              <c:x val="0.36987978997731613"/>
              <c:y val="0.93651614655699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#,##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02703"/>
        <c:crosses val="autoZero"/>
        <c:crossBetween val="midCat"/>
        <c:majorUnit val="12"/>
      </c:valAx>
      <c:valAx>
        <c:axId val="1977702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\ #\ 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44383"/>
        <c:crossesAt val="0"/>
        <c:crossBetween val="midCat"/>
      </c:valAx>
      <c:spPr>
        <a:noFill/>
        <a:ln w="25400" cap="flat" cmpd="sng" algn="ctr">
          <a:solidFill>
            <a:schemeClr val="dk1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74342150816299279"/>
          <c:y val="0.34920148577504317"/>
          <c:w val="0.2458983268001006"/>
          <c:h val="0.10693190243891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25" r="0.25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baseline="0"/>
              <a:t>SHORTFALL BENEFIT(S) ILLUSTRATION</a:t>
            </a:r>
          </a:p>
        </c:rich>
      </c:tx>
      <c:layout>
        <c:manualLayout>
          <c:xMode val="edge"/>
          <c:yMode val="edge"/>
          <c:x val="0.30792962962962961"/>
          <c:y val="2.22590143032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53623097740751E-2"/>
          <c:y val="0.12403849760903772"/>
          <c:w val="0.63864900121017809"/>
          <c:h val="0.57414642410880468"/>
        </c:manualLayout>
      </c:layout>
      <c:scatterChart>
        <c:scatterStyle val="smoothMarker"/>
        <c:varyColors val="0"/>
        <c:ser>
          <c:idx val="2"/>
          <c:order val="2"/>
          <c:tx>
            <c:strRef>
              <c:f>'Shortfall Illustration'!$N$3</c:f>
              <c:strCache>
                <c:ptCount val="1"/>
                <c:pt idx="0">
                  <c:v> Illustration of Shortfall Benefit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'Shortfall Illustration'!$A$4:$A$99</c:f>
              <c:numCache>
                <c:formatCode>#,##0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xVal>
          <c:yVal>
            <c:numRef>
              <c:f>'Shortfall Illustration'!$N$4:$N$99</c:f>
              <c:numCache>
                <c:formatCode>"R"\ #,##0.00</c:formatCode>
                <c:ptCount val="96"/>
                <c:pt idx="0">
                  <c:v>22939.339029373717</c:v>
                </c:pt>
                <c:pt idx="1">
                  <c:v>24011.219916516682</c:v>
                </c:pt>
                <c:pt idx="2">
                  <c:v>25012.66404512513</c:v>
                </c:pt>
                <c:pt idx="3">
                  <c:v>45248.592603979167</c:v>
                </c:pt>
                <c:pt idx="4">
                  <c:v>45931.831080101314</c:v>
                </c:pt>
                <c:pt idx="5">
                  <c:v>46546.527166154061</c:v>
                </c:pt>
                <c:pt idx="6">
                  <c:v>47092.74076666194</c:v>
                </c:pt>
                <c:pt idx="7">
                  <c:v>47570.526003744395</c:v>
                </c:pt>
                <c:pt idx="8">
                  <c:v>47979.931222360523</c:v>
                </c:pt>
                <c:pt idx="9">
                  <c:v>48320.998995065922</c:v>
                </c:pt>
                <c:pt idx="10">
                  <c:v>48593.766126282222</c:v>
                </c:pt>
                <c:pt idx="11">
                  <c:v>48798.263656079595</c:v>
                </c:pt>
                <c:pt idx="12">
                  <c:v>65709.534260341781</c:v>
                </c:pt>
                <c:pt idx="13">
                  <c:v>64959.221400756098</c:v>
                </c:pt>
                <c:pt idx="14">
                  <c:v>64153.206327313499</c:v>
                </c:pt>
                <c:pt idx="15">
                  <c:v>71948.395507278969</c:v>
                </c:pt>
                <c:pt idx="16">
                  <c:v>70965.610791134764</c:v>
                </c:pt>
                <c:pt idx="17">
                  <c:v>69927.165329750103</c:v>
                </c:pt>
                <c:pt idx="18">
                  <c:v>68832.898788766994</c:v>
                </c:pt>
                <c:pt idx="19">
                  <c:v>67682.646739927295</c:v>
                </c:pt>
                <c:pt idx="20">
                  <c:v>66476.240643226542</c:v>
                </c:pt>
                <c:pt idx="21">
                  <c:v>65213.507828756643</c:v>
                </c:pt>
                <c:pt idx="22">
                  <c:v>63894.271478235431</c:v>
                </c:pt>
                <c:pt idx="23">
                  <c:v>62518.350606221939</c:v>
                </c:pt>
                <c:pt idx="24">
                  <c:v>61671.228801834048</c:v>
                </c:pt>
                <c:pt idx="25">
                  <c:v>60757.286780856608</c:v>
                </c:pt>
                <c:pt idx="26">
                  <c:v>59776.453361526947</c:v>
                </c:pt>
                <c:pt idx="27">
                  <c:v>58728.651747327996</c:v>
                </c:pt>
                <c:pt idx="28">
                  <c:v>57613.799521007168</c:v>
                </c:pt>
                <c:pt idx="29">
                  <c:v>56431.808638123213</c:v>
                </c:pt>
                <c:pt idx="30">
                  <c:v>55182.58542012109</c:v>
                </c:pt>
                <c:pt idx="31">
                  <c:v>53866.030546933471</c:v>
                </c:pt>
                <c:pt idx="32">
                  <c:v>52482.039049109444</c:v>
                </c:pt>
                <c:pt idx="33">
                  <c:v>51030.500299468695</c:v>
                </c:pt>
                <c:pt idx="34">
                  <c:v>49511.298004281183</c:v>
                </c:pt>
                <c:pt idx="35">
                  <c:v>47924.31019397144</c:v>
                </c:pt>
                <c:pt idx="36">
                  <c:v>46269.409213346546</c:v>
                </c:pt>
                <c:pt idx="37">
                  <c:v>44546.461711347511</c:v>
                </c:pt>
                <c:pt idx="38">
                  <c:v>42755.328630322532</c:v>
                </c:pt>
                <c:pt idx="39">
                  <c:v>40895.865194821672</c:v>
                </c:pt>
                <c:pt idx="40">
                  <c:v>38967.920899912482</c:v>
                </c:pt>
                <c:pt idx="41">
                  <c:v>36971.339499014663</c:v>
                </c:pt>
                <c:pt idx="42">
                  <c:v>34905.958991253341</c:v>
                </c:pt>
                <c:pt idx="43">
                  <c:v>32771.611608330277</c:v>
                </c:pt>
                <c:pt idx="44">
                  <c:v>30568.123800911184</c:v>
                </c:pt>
                <c:pt idx="45">
                  <c:v>28295.316224528418</c:v>
                </c:pt>
                <c:pt idx="46">
                  <c:v>25953.003724998154</c:v>
                </c:pt>
                <c:pt idx="47">
                  <c:v>23540.995323350478</c:v>
                </c:pt>
                <c:pt idx="48">
                  <c:v>21059.09420027124</c:v>
                </c:pt>
                <c:pt idx="49">
                  <c:v>18507.097680054372</c:v>
                </c:pt>
                <c:pt idx="50">
                  <c:v>15884.797214063874</c:v>
                </c:pt>
                <c:pt idx="51">
                  <c:v>13191.978363703238</c:v>
                </c:pt>
                <c:pt idx="52">
                  <c:v>10428.420782891626</c:v>
                </c:pt>
                <c:pt idx="53">
                  <c:v>7593.8982000451069</c:v>
                </c:pt>
                <c:pt idx="54">
                  <c:v>4688.1783995614387</c:v>
                </c:pt>
                <c:pt idx="55">
                  <c:v>1711.0232028068858</c:v>
                </c:pt>
                <c:pt idx="56">
                  <c:v>-1337.811551396182</c:v>
                </c:pt>
                <c:pt idx="57">
                  <c:v>-4458.5760267831211</c:v>
                </c:pt>
                <c:pt idx="58">
                  <c:v>-7651.5264101630892</c:v>
                </c:pt>
                <c:pt idx="59">
                  <c:v>-10916.924932439957</c:v>
                </c:pt>
                <c:pt idx="60">
                  <c:v>-14465.24534050902</c:v>
                </c:pt>
                <c:pt idx="61">
                  <c:v>-18082.877972800168</c:v>
                </c:pt>
                <c:pt idx="62">
                  <c:v>-21770.151641753619</c:v>
                </c:pt>
                <c:pt idx="63">
                  <c:v>-25527.400728503766</c:v>
                </c:pt>
                <c:pt idx="64">
                  <c:v>-29354.965212637384</c:v>
                </c:pt>
                <c:pt idx="65">
                  <c:v>-33253.190702402004</c:v>
                </c:pt>
                <c:pt idx="66">
                  <c:v>-37222.428465367062</c:v>
                </c:pt>
                <c:pt idx="67">
                  <c:v>-41263.035459540668</c:v>
                </c:pt>
                <c:pt idx="68">
                  <c:v>-45375.374364944641</c:v>
                </c:pt>
                <c:pt idx="69">
                  <c:v>-49559.813615650375</c:v>
                </c:pt>
                <c:pt idx="70">
                  <c:v>-53816.727432278683</c:v>
                </c:pt>
                <c:pt idx="71">
                  <c:v>-228146.49585496591</c:v>
                </c:pt>
                <c:pt idx="72">
                  <c:v>-226245.27505617452</c:v>
                </c:pt>
                <c:pt idx="73">
                  <c:v>-224359.89776403975</c:v>
                </c:pt>
                <c:pt idx="74">
                  <c:v>-222490.23194933942</c:v>
                </c:pt>
                <c:pt idx="75">
                  <c:v>-220636.14668309494</c:v>
                </c:pt>
                <c:pt idx="76">
                  <c:v>-218797.51212740247</c:v>
                </c:pt>
                <c:pt idx="77">
                  <c:v>-216974.19952634079</c:v>
                </c:pt>
                <c:pt idx="78">
                  <c:v>-215166.08119695462</c:v>
                </c:pt>
                <c:pt idx="79">
                  <c:v>-213373.03052031333</c:v>
                </c:pt>
                <c:pt idx="80">
                  <c:v>-211594.92193264407</c:v>
                </c:pt>
                <c:pt idx="81">
                  <c:v>-209831.63091653871</c:v>
                </c:pt>
                <c:pt idx="82">
                  <c:v>-208083.03399223421</c:v>
                </c:pt>
                <c:pt idx="83">
                  <c:v>-206349.00870896559</c:v>
                </c:pt>
                <c:pt idx="84">
                  <c:v>-204629.43363639087</c:v>
                </c:pt>
                <c:pt idx="85">
                  <c:v>-202924.1883560876</c:v>
                </c:pt>
                <c:pt idx="86">
                  <c:v>-201233.15345312021</c:v>
                </c:pt>
                <c:pt idx="87">
                  <c:v>-199556.21050767755</c:v>
                </c:pt>
                <c:pt idx="88">
                  <c:v>-197893.24208678023</c:v>
                </c:pt>
                <c:pt idx="89">
                  <c:v>-196244.13173605705</c:v>
                </c:pt>
                <c:pt idx="90">
                  <c:v>-194608.76397158991</c:v>
                </c:pt>
                <c:pt idx="91">
                  <c:v>-192987.02427182667</c:v>
                </c:pt>
                <c:pt idx="92">
                  <c:v>-191378.79906956144</c:v>
                </c:pt>
                <c:pt idx="93">
                  <c:v>-189783.97574398178</c:v>
                </c:pt>
                <c:pt idx="94">
                  <c:v>-188202.44261278195</c:v>
                </c:pt>
                <c:pt idx="95">
                  <c:v>-186634.0889243421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3-488B-AA25-B8BB2479DE2C}"/>
            </c:ext>
          </c:extLst>
        </c:ser>
        <c:ser>
          <c:idx val="3"/>
          <c:order val="3"/>
          <c:tx>
            <c:strRef>
              <c:f>'Shortfall Illustration'!$P$3</c:f>
              <c:strCache>
                <c:ptCount val="1"/>
                <c:pt idx="0">
                  <c:v> Shortfall Benefit Plus Loyalty Bonus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'Shortfall Illustration'!$A$4:$A$99</c:f>
              <c:numCache>
                <c:formatCode>#,##0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xVal>
          <c:yVal>
            <c:numRef>
              <c:f>'Shortfall Illustration'!$P$4:$P$99</c:f>
              <c:numCache>
                <c:formatCode>"R"\ #,##0.00</c:formatCode>
                <c:ptCount val="96"/>
                <c:pt idx="0">
                  <c:v>37939.339029373717</c:v>
                </c:pt>
                <c:pt idx="1">
                  <c:v>39011.219916516682</c:v>
                </c:pt>
                <c:pt idx="2">
                  <c:v>40012.66404512513</c:v>
                </c:pt>
                <c:pt idx="3">
                  <c:v>60248.592603979167</c:v>
                </c:pt>
                <c:pt idx="4">
                  <c:v>60931.831080101314</c:v>
                </c:pt>
                <c:pt idx="5">
                  <c:v>61546.527166154061</c:v>
                </c:pt>
                <c:pt idx="6">
                  <c:v>62092.74076666194</c:v>
                </c:pt>
                <c:pt idx="7">
                  <c:v>62570.526003744395</c:v>
                </c:pt>
                <c:pt idx="8">
                  <c:v>62979.931222360523</c:v>
                </c:pt>
                <c:pt idx="9">
                  <c:v>63320.998995065922</c:v>
                </c:pt>
                <c:pt idx="10">
                  <c:v>63593.766126282222</c:v>
                </c:pt>
                <c:pt idx="11">
                  <c:v>63798.263656079595</c:v>
                </c:pt>
                <c:pt idx="12">
                  <c:v>80709.534260341781</c:v>
                </c:pt>
                <c:pt idx="13">
                  <c:v>79959.221400756098</c:v>
                </c:pt>
                <c:pt idx="14">
                  <c:v>79153.206327313499</c:v>
                </c:pt>
                <c:pt idx="15">
                  <c:v>86948.395507278969</c:v>
                </c:pt>
                <c:pt idx="16">
                  <c:v>85965.610791134764</c:v>
                </c:pt>
                <c:pt idx="17">
                  <c:v>84927.165329750103</c:v>
                </c:pt>
                <c:pt idx="18">
                  <c:v>83832.898788766994</c:v>
                </c:pt>
                <c:pt idx="19">
                  <c:v>82682.646739927295</c:v>
                </c:pt>
                <c:pt idx="20">
                  <c:v>81476.240643226542</c:v>
                </c:pt>
                <c:pt idx="21">
                  <c:v>80213.507828756643</c:v>
                </c:pt>
                <c:pt idx="22">
                  <c:v>78894.271478235431</c:v>
                </c:pt>
                <c:pt idx="23">
                  <c:v>77518.350606221939</c:v>
                </c:pt>
                <c:pt idx="24">
                  <c:v>76671.228801834048</c:v>
                </c:pt>
                <c:pt idx="25">
                  <c:v>75757.286780856608</c:v>
                </c:pt>
                <c:pt idx="26">
                  <c:v>74776.453361526947</c:v>
                </c:pt>
                <c:pt idx="27">
                  <c:v>73728.651747327996</c:v>
                </c:pt>
                <c:pt idx="28">
                  <c:v>72613.799521007168</c:v>
                </c:pt>
                <c:pt idx="29">
                  <c:v>71431.808638123213</c:v>
                </c:pt>
                <c:pt idx="30">
                  <c:v>70182.58542012109</c:v>
                </c:pt>
                <c:pt idx="31">
                  <c:v>68866.030546933471</c:v>
                </c:pt>
                <c:pt idx="32">
                  <c:v>67482.039049109444</c:v>
                </c:pt>
                <c:pt idx="33">
                  <c:v>66030.500299468695</c:v>
                </c:pt>
                <c:pt idx="34">
                  <c:v>64511.298004281183</c:v>
                </c:pt>
                <c:pt idx="35">
                  <c:v>62924.31019397144</c:v>
                </c:pt>
                <c:pt idx="36">
                  <c:v>61269.409213346546</c:v>
                </c:pt>
                <c:pt idx="37">
                  <c:v>59546.461711347511</c:v>
                </c:pt>
                <c:pt idx="38">
                  <c:v>57755.328630322532</c:v>
                </c:pt>
                <c:pt idx="39">
                  <c:v>55895.865194821672</c:v>
                </c:pt>
                <c:pt idx="40">
                  <c:v>53967.920899912482</c:v>
                </c:pt>
                <c:pt idx="41">
                  <c:v>51971.339499014663</c:v>
                </c:pt>
                <c:pt idx="42">
                  <c:v>49905.958991253341</c:v>
                </c:pt>
                <c:pt idx="43">
                  <c:v>47771.611608330277</c:v>
                </c:pt>
                <c:pt idx="44">
                  <c:v>45568.123800911184</c:v>
                </c:pt>
                <c:pt idx="45">
                  <c:v>43295.316224528418</c:v>
                </c:pt>
                <c:pt idx="46">
                  <c:v>40953.003724998154</c:v>
                </c:pt>
                <c:pt idx="47">
                  <c:v>38540.995323350478</c:v>
                </c:pt>
                <c:pt idx="48">
                  <c:v>36059.09420027124</c:v>
                </c:pt>
                <c:pt idx="49">
                  <c:v>33507.097680054372</c:v>
                </c:pt>
                <c:pt idx="50">
                  <c:v>30884.797214063874</c:v>
                </c:pt>
                <c:pt idx="51">
                  <c:v>28191.978363703238</c:v>
                </c:pt>
                <c:pt idx="52">
                  <c:v>25428.420782891626</c:v>
                </c:pt>
                <c:pt idx="53">
                  <c:v>22593.898200045107</c:v>
                </c:pt>
                <c:pt idx="54">
                  <c:v>19688.178399561439</c:v>
                </c:pt>
                <c:pt idx="55">
                  <c:v>16711.023202806886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  <c:pt idx="60">
                  <c:v>15000</c:v>
                </c:pt>
                <c:pt idx="61">
                  <c:v>15000</c:v>
                </c:pt>
                <c:pt idx="62">
                  <c:v>15000</c:v>
                </c:pt>
                <c:pt idx="63">
                  <c:v>15000</c:v>
                </c:pt>
                <c:pt idx="64">
                  <c:v>15000</c:v>
                </c:pt>
                <c:pt idx="65">
                  <c:v>15000</c:v>
                </c:pt>
                <c:pt idx="66">
                  <c:v>15000</c:v>
                </c:pt>
                <c:pt idx="67">
                  <c:v>15000</c:v>
                </c:pt>
                <c:pt idx="68">
                  <c:v>15000</c:v>
                </c:pt>
                <c:pt idx="69">
                  <c:v>15000</c:v>
                </c:pt>
                <c:pt idx="70">
                  <c:v>15000</c:v>
                </c:pt>
                <c:pt idx="71">
                  <c:v>15000</c:v>
                </c:pt>
                <c:pt idx="72">
                  <c:v>15000</c:v>
                </c:pt>
                <c:pt idx="73">
                  <c:v>15000</c:v>
                </c:pt>
                <c:pt idx="74">
                  <c:v>15000</c:v>
                </c:pt>
                <c:pt idx="75">
                  <c:v>15000</c:v>
                </c:pt>
                <c:pt idx="76">
                  <c:v>15000</c:v>
                </c:pt>
                <c:pt idx="77">
                  <c:v>15000</c:v>
                </c:pt>
                <c:pt idx="78">
                  <c:v>15000</c:v>
                </c:pt>
                <c:pt idx="79">
                  <c:v>15000</c:v>
                </c:pt>
                <c:pt idx="80">
                  <c:v>15000</c:v>
                </c:pt>
                <c:pt idx="81">
                  <c:v>15000</c:v>
                </c:pt>
                <c:pt idx="82">
                  <c:v>15000</c:v>
                </c:pt>
                <c:pt idx="83">
                  <c:v>15000</c:v>
                </c:pt>
                <c:pt idx="84">
                  <c:v>15000</c:v>
                </c:pt>
                <c:pt idx="85">
                  <c:v>15000</c:v>
                </c:pt>
                <c:pt idx="86">
                  <c:v>15000</c:v>
                </c:pt>
                <c:pt idx="87">
                  <c:v>15000</c:v>
                </c:pt>
                <c:pt idx="88">
                  <c:v>15000</c:v>
                </c:pt>
                <c:pt idx="89">
                  <c:v>15000</c:v>
                </c:pt>
                <c:pt idx="90">
                  <c:v>15000</c:v>
                </c:pt>
                <c:pt idx="91">
                  <c:v>15000</c:v>
                </c:pt>
                <c:pt idx="92">
                  <c:v>15000</c:v>
                </c:pt>
                <c:pt idx="93">
                  <c:v>15000</c:v>
                </c:pt>
                <c:pt idx="94">
                  <c:v>15000</c:v>
                </c:pt>
                <c:pt idx="95">
                  <c:v>15000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73-488B-AA25-B8BB2479D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4383"/>
        <c:axId val="197770270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'Shortfall Illustration'!$H$3</c15:sqref>
                        </c15:formulaRef>
                      </c:ext>
                    </c:extLst>
                    <c:strCache>
                      <c:ptCount val="1"/>
                      <c:pt idx="0">
                        <c:v> Capital balance </c:v>
                      </c:pt>
                    </c:strCache>
                  </c:strRef>
                </c:tx>
                <c:spPr>
                  <a:ln w="28575" cap="rnd" cmpd="sng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'Shortfall Illustration'!$A$4:$A$87</c15:sqref>
                        </c15:formulaRef>
                      </c:ext>
                    </c:extLst>
                    <c:numCache>
                      <c:formatCode>#,##0</c:formatCode>
                      <c:ptCount val="8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'Shortfall Illustration'!$H$4:$H$87</c15:sqref>
                        </c15:formulaRef>
                      </c:ext>
                    </c:extLst>
                    <c:numCache>
                      <c:formatCode>"R"#,##0.00</c:formatCode>
                      <c:ptCount val="84"/>
                      <c:pt idx="0">
                        <c:v>497939.33902937372</c:v>
                      </c:pt>
                      <c:pt idx="1">
                        <c:v>494641.21991651668</c:v>
                      </c:pt>
                      <c:pt idx="2">
                        <c:v>491312.86804512516</c:v>
                      </c:pt>
                      <c:pt idx="3">
                        <c:v>487954.0062815792</c:v>
                      </c:pt>
                      <c:pt idx="4">
                        <c:v>484564.35495186743</c:v>
                      </c:pt>
                      <c:pt idx="5">
                        <c:v>481143.63181829994</c:v>
                      </c:pt>
                      <c:pt idx="6">
                        <c:v>477691.55205600808</c:v>
                      </c:pt>
                      <c:pt idx="7">
                        <c:v>474207.82822922856</c:v>
                      </c:pt>
                      <c:pt idx="8">
                        <c:v>470692.17026737024</c:v>
                      </c:pt>
                      <c:pt idx="9">
                        <c:v>467144.28544086154</c:v>
                      </c:pt>
                      <c:pt idx="10">
                        <c:v>463563.87833677651</c:v>
                      </c:pt>
                      <c:pt idx="11">
                        <c:v>459950.65083423734</c:v>
                      </c:pt>
                      <c:pt idx="12">
                        <c:v>456304.30207959161</c:v>
                      </c:pt>
                      <c:pt idx="13">
                        <c:v>452624.52846136159</c:v>
                      </c:pt>
                      <c:pt idx="14">
                        <c:v>448911.02358496445</c:v>
                      </c:pt>
                      <c:pt idx="15">
                        <c:v>445163.47824720037</c:v>
                      </c:pt>
                      <c:pt idx="16">
                        <c:v>441381.58041050675</c:v>
                      </c:pt>
                      <c:pt idx="17">
                        <c:v>437565.0151769768</c:v>
                      </c:pt>
                      <c:pt idx="18">
                        <c:v>433713.46476213948</c:v>
                      </c:pt>
                      <c:pt idx="19">
                        <c:v>429826.6084684995</c:v>
                      </c:pt>
                      <c:pt idx="20">
                        <c:v>425904.1226588345</c:v>
                      </c:pt>
                      <c:pt idx="21">
                        <c:v>421945.68072924757</c:v>
                      </c:pt>
                      <c:pt idx="22">
                        <c:v>417950.95308197272</c:v>
                      </c:pt>
                      <c:pt idx="23">
                        <c:v>413919.60709793121</c:v>
                      </c:pt>
                      <c:pt idx="24">
                        <c:v>409851.30710903596</c:v>
                      </c:pt>
                      <c:pt idx="25">
                        <c:v>405745.71437024249</c:v>
                      </c:pt>
                      <c:pt idx="26">
                        <c:v>401602.48703134345</c:v>
                      </c:pt>
                      <c:pt idx="27">
                        <c:v>397421.28010850452</c:v>
                      </c:pt>
                      <c:pt idx="28">
                        <c:v>393201.74545553955</c:v>
                      </c:pt>
                      <c:pt idx="29">
                        <c:v>388943.53173492238</c:v>
                      </c:pt>
                      <c:pt idx="30">
                        <c:v>384646.28438853292</c:v>
                      </c:pt>
                      <c:pt idx="31">
                        <c:v>380309.64560813486</c:v>
                      </c:pt>
                      <c:pt idx="32">
                        <c:v>375933.25430558313</c:v>
                      </c:pt>
                      <c:pt idx="33">
                        <c:v>371516.74608275807</c:v>
                      </c:pt>
                      <c:pt idx="34">
                        <c:v>367059.75320122374</c:v>
                      </c:pt>
                      <c:pt idx="35">
                        <c:v>362561.90455160866</c:v>
                      </c:pt>
                      <c:pt idx="36">
                        <c:v>358022.82562270545</c:v>
                      </c:pt>
                      <c:pt idx="37">
                        <c:v>353442.13847028732</c:v>
                      </c:pt>
                      <c:pt idx="38">
                        <c:v>348819.4616856387</c:v>
                      </c:pt>
                      <c:pt idx="39">
                        <c:v>344154.41036379745</c:v>
                      </c:pt>
                      <c:pt idx="40">
                        <c:v>339446.59607150598</c:v>
                      </c:pt>
                      <c:pt idx="41">
                        <c:v>334695.62681486853</c:v>
                      </c:pt>
                      <c:pt idx="42">
                        <c:v>329901.10700671189</c:v>
                      </c:pt>
                      <c:pt idx="43">
                        <c:v>325062.63743364712</c:v>
                      </c:pt>
                      <c:pt idx="44">
                        <c:v>320179.81522282929</c:v>
                      </c:pt>
                      <c:pt idx="45">
                        <c:v>315252.23380841227</c:v>
                      </c:pt>
                      <c:pt idx="46">
                        <c:v>310279.48289769643</c:v>
                      </c:pt>
                      <c:pt idx="47">
                        <c:v>305261.14843696571</c:v>
                      </c:pt>
                      <c:pt idx="48">
                        <c:v>300196.81257701165</c:v>
                      </c:pt>
                      <c:pt idx="49">
                        <c:v>295086.05363834131</c:v>
                      </c:pt>
                      <c:pt idx="50">
                        <c:v>289928.44607606652</c:v>
                      </c:pt>
                      <c:pt idx="51">
                        <c:v>284723.56044447084</c:v>
                      </c:pt>
                      <c:pt idx="52">
                        <c:v>279470.96336125222</c:v>
                      </c:pt>
                      <c:pt idx="53">
                        <c:v>274170.21747143741</c:v>
                      </c:pt>
                      <c:pt idx="54">
                        <c:v>268820.88141096599</c:v>
                      </c:pt>
                      <c:pt idx="55">
                        <c:v>263422.50976994022</c:v>
                      </c:pt>
                      <c:pt idx="56">
                        <c:v>257974.65305553842</c:v>
                      </c:pt>
                      <c:pt idx="57">
                        <c:v>252476.85765458792</c:v>
                      </c:pt>
                      <c:pt idx="58">
                        <c:v>246928.66579579539</c:v>
                      </c:pt>
                      <c:pt idx="59">
                        <c:v>241329.61551163057</c:v>
                      </c:pt>
                      <c:pt idx="60">
                        <c:v>235679.24059986093</c:v>
                      </c:pt>
                      <c:pt idx="61">
                        <c:v>229977.07058473339</c:v>
                      </c:pt>
                      <c:pt idx="62">
                        <c:v>224222.63067780051</c:v>
                      </c:pt>
                      <c:pt idx="63">
                        <c:v>218415.44173838742</c:v>
                      </c:pt>
                      <c:pt idx="64">
                        <c:v>212555.02023369638</c:v>
                      </c:pt>
                      <c:pt idx="65">
                        <c:v>206640.87819854566</c:v>
                      </c:pt>
                      <c:pt idx="66">
                        <c:v>200672.52319473939</c:v>
                      </c:pt>
                      <c:pt idx="67">
                        <c:v>194649.4582700649</c:v>
                      </c:pt>
                      <c:pt idx="68">
                        <c:v>188571.18191691424</c:v>
                      </c:pt>
                      <c:pt idx="69">
                        <c:v>182437.18803052636</c:v>
                      </c:pt>
                      <c:pt idx="70">
                        <c:v>176246.96586684659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373-488B-AA25-B8BB2479DE2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'Shortfall Illustration'!$M$3</c15:sqref>
                        </c15:formulaRef>
                      </c:ext>
                    </c:extLst>
                    <c:strCache>
                      <c:ptCount val="1"/>
                      <c:pt idx="0">
                        <c:v> Market Value less Excess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'Shortfall Illustration'!$A$4:$A$87</c15:sqref>
                        </c15:formulaRef>
                      </c:ext>
                    </c:extLst>
                    <c:numCache>
                      <c:formatCode>#,##0</c:formatCode>
                      <c:ptCount val="8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'Shortfall Illustration'!$M$4:$M$87</c15:sqref>
                        </c15:formulaRef>
                      </c:ext>
                    </c:extLst>
                    <c:numCache>
                      <c:formatCode>"R"\ #,##0.00</c:formatCode>
                      <c:ptCount val="84"/>
                      <c:pt idx="0">
                        <c:v>475000</c:v>
                      </c:pt>
                      <c:pt idx="1">
                        <c:v>470630</c:v>
                      </c:pt>
                      <c:pt idx="2">
                        <c:v>466300.20400000003</c:v>
                      </c:pt>
                      <c:pt idx="3">
                        <c:v>442705.41367760004</c:v>
                      </c:pt>
                      <c:pt idx="4">
                        <c:v>438632.52387176611</c:v>
                      </c:pt>
                      <c:pt idx="5">
                        <c:v>434597.10465214588</c:v>
                      </c:pt>
                      <c:pt idx="6">
                        <c:v>430598.81128934614</c:v>
                      </c:pt>
                      <c:pt idx="7">
                        <c:v>426637.30222548416</c:v>
                      </c:pt>
                      <c:pt idx="8">
                        <c:v>422712.23904500972</c:v>
                      </c:pt>
                      <c:pt idx="9">
                        <c:v>418823.28644579562</c:v>
                      </c:pt>
                      <c:pt idx="10">
                        <c:v>414970.11221049429</c:v>
                      </c:pt>
                      <c:pt idx="11">
                        <c:v>411152.38717815775</c:v>
                      </c:pt>
                      <c:pt idx="12">
                        <c:v>390594.76781924983</c:v>
                      </c:pt>
                      <c:pt idx="13">
                        <c:v>387665.3070606055</c:v>
                      </c:pt>
                      <c:pt idx="14">
                        <c:v>384757.81725765095</c:v>
                      </c:pt>
                      <c:pt idx="15">
                        <c:v>373215.0827399214</c:v>
                      </c:pt>
                      <c:pt idx="16">
                        <c:v>370415.96961937199</c:v>
                      </c:pt>
                      <c:pt idx="17">
                        <c:v>367637.84984722669</c:v>
                      </c:pt>
                      <c:pt idx="18">
                        <c:v>364880.56597337249</c:v>
                      </c:pt>
                      <c:pt idx="19">
                        <c:v>362143.96172857221</c:v>
                      </c:pt>
                      <c:pt idx="20">
                        <c:v>359427.88201560796</c:v>
                      </c:pt>
                      <c:pt idx="21">
                        <c:v>356732.17290049093</c:v>
                      </c:pt>
                      <c:pt idx="22">
                        <c:v>354056.68160373729</c:v>
                      </c:pt>
                      <c:pt idx="23">
                        <c:v>351401.25649170927</c:v>
                      </c:pt>
                      <c:pt idx="24">
                        <c:v>348180.07830720191</c:v>
                      </c:pt>
                      <c:pt idx="25">
                        <c:v>344988.42758938589</c:v>
                      </c:pt>
                      <c:pt idx="26">
                        <c:v>341826.0336698165</c:v>
                      </c:pt>
                      <c:pt idx="27">
                        <c:v>338692.62836117652</c:v>
                      </c:pt>
                      <c:pt idx="28">
                        <c:v>335587.94593453238</c:v>
                      </c:pt>
                      <c:pt idx="29">
                        <c:v>332511.72309679916</c:v>
                      </c:pt>
                      <c:pt idx="30">
                        <c:v>329463.69896841183</c:v>
                      </c:pt>
                      <c:pt idx="31">
                        <c:v>326443.61506120139</c:v>
                      </c:pt>
                      <c:pt idx="32">
                        <c:v>323451.21525647369</c:v>
                      </c:pt>
                      <c:pt idx="33">
                        <c:v>320486.24578328937</c:v>
                      </c:pt>
                      <c:pt idx="34">
                        <c:v>317548.45519694255</c:v>
                      </c:pt>
                      <c:pt idx="35">
                        <c:v>314637.59435763722</c:v>
                      </c:pt>
                      <c:pt idx="36">
                        <c:v>311753.41640935891</c:v>
                      </c:pt>
                      <c:pt idx="37">
                        <c:v>308895.67675893981</c:v>
                      </c:pt>
                      <c:pt idx="38">
                        <c:v>306064.13305531617</c:v>
                      </c:pt>
                      <c:pt idx="39">
                        <c:v>303258.54516897578</c:v>
                      </c:pt>
                      <c:pt idx="40">
                        <c:v>300478.6751715935</c:v>
                      </c:pt>
                      <c:pt idx="41">
                        <c:v>297724.28731585387</c:v>
                      </c:pt>
                      <c:pt idx="42">
                        <c:v>294995.14801545854</c:v>
                      </c:pt>
                      <c:pt idx="43">
                        <c:v>292291.02582531684</c:v>
                      </c:pt>
                      <c:pt idx="44">
                        <c:v>289611.69142191811</c:v>
                      </c:pt>
                      <c:pt idx="45">
                        <c:v>286956.91758388386</c:v>
                      </c:pt>
                      <c:pt idx="46">
                        <c:v>284326.47917269828</c:v>
                      </c:pt>
                      <c:pt idx="47">
                        <c:v>281720.15311361523</c:v>
                      </c:pt>
                      <c:pt idx="48">
                        <c:v>279137.71837674041</c:v>
                      </c:pt>
                      <c:pt idx="49">
                        <c:v>276578.95595828694</c:v>
                      </c:pt>
                      <c:pt idx="50">
                        <c:v>274043.64886200265</c:v>
                      </c:pt>
                      <c:pt idx="51">
                        <c:v>271531.58208076761</c:v>
                      </c:pt>
                      <c:pt idx="52">
                        <c:v>269042.54257836059</c:v>
                      </c:pt>
                      <c:pt idx="53">
                        <c:v>266576.31927139231</c:v>
                      </c:pt>
                      <c:pt idx="54">
                        <c:v>264132.70301140455</c:v>
                      </c:pt>
                      <c:pt idx="55">
                        <c:v>261711.48656713334</c:v>
                      </c:pt>
                      <c:pt idx="56">
                        <c:v>259312.46460693461</c:v>
                      </c:pt>
                      <c:pt idx="57">
                        <c:v>256935.43368137104</c:v>
                      </c:pt>
                      <c:pt idx="58">
                        <c:v>254580.19220595848</c:v>
                      </c:pt>
                      <c:pt idx="59">
                        <c:v>252246.54044407053</c:v>
                      </c:pt>
                      <c:pt idx="60">
                        <c:v>250144.48594036995</c:v>
                      </c:pt>
                      <c:pt idx="61">
                        <c:v>248059.94855753356</c:v>
                      </c:pt>
                      <c:pt idx="62">
                        <c:v>245992.78231955413</c:v>
                      </c:pt>
                      <c:pt idx="63">
                        <c:v>243942.84246689119</c:v>
                      </c:pt>
                      <c:pt idx="64">
                        <c:v>241909.98544633377</c:v>
                      </c:pt>
                      <c:pt idx="65">
                        <c:v>239894.06890094766</c:v>
                      </c:pt>
                      <c:pt idx="66">
                        <c:v>237894.95166010645</c:v>
                      </c:pt>
                      <c:pt idx="67">
                        <c:v>235912.49372960557</c:v>
                      </c:pt>
                      <c:pt idx="68">
                        <c:v>233946.55628185888</c:v>
                      </c:pt>
                      <c:pt idx="69">
                        <c:v>231997.00164617674</c:v>
                      </c:pt>
                      <c:pt idx="70">
                        <c:v>230063.69329912527</c:v>
                      </c:pt>
                      <c:pt idx="71">
                        <c:v>228146.49585496591</c:v>
                      </c:pt>
                      <c:pt idx="72">
                        <c:v>226245.27505617452</c:v>
                      </c:pt>
                      <c:pt idx="73">
                        <c:v>224359.89776403975</c:v>
                      </c:pt>
                      <c:pt idx="74">
                        <c:v>222490.23194933942</c:v>
                      </c:pt>
                      <c:pt idx="75">
                        <c:v>220636.14668309494</c:v>
                      </c:pt>
                      <c:pt idx="76">
                        <c:v>218797.51212740247</c:v>
                      </c:pt>
                      <c:pt idx="77">
                        <c:v>216974.19952634079</c:v>
                      </c:pt>
                      <c:pt idx="78">
                        <c:v>215166.08119695462</c:v>
                      </c:pt>
                      <c:pt idx="79">
                        <c:v>213373.03052031333</c:v>
                      </c:pt>
                      <c:pt idx="80">
                        <c:v>211594.92193264407</c:v>
                      </c:pt>
                      <c:pt idx="81">
                        <c:v>209831.63091653871</c:v>
                      </c:pt>
                      <c:pt idx="82">
                        <c:v>208083.03399223421</c:v>
                      </c:pt>
                      <c:pt idx="83">
                        <c:v>206349.00870896559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373-488B-AA25-B8BB2479DE2C}"/>
                  </c:ext>
                </c:extLst>
              </c15:ser>
            </c15:filteredScatterSeries>
          </c:ext>
        </c:extLst>
      </c:scatterChart>
      <c:valAx>
        <c:axId val="35944383"/>
        <c:scaling>
          <c:orientation val="minMax"/>
          <c:max val="9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FINANCE</a:t>
                </a:r>
                <a:r>
                  <a:rPr lang="en-ZA" baseline="0"/>
                  <a:t> </a:t>
                </a:r>
                <a:r>
                  <a:rPr lang="en-ZA" sz="1400" baseline="0"/>
                  <a:t>TERM</a:t>
                </a:r>
                <a:endParaRPr lang="en-ZA" sz="1400"/>
              </a:p>
            </c:rich>
          </c:tx>
          <c:layout>
            <c:manualLayout>
              <c:xMode val="edge"/>
              <c:yMode val="edge"/>
              <c:x val="0.37087777201502514"/>
              <c:y val="0.801828116025227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#,##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  <a:alpha val="98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02703"/>
        <c:crosses val="autoZero"/>
        <c:crossBetween val="midCat"/>
        <c:majorUnit val="12"/>
      </c:valAx>
      <c:valAx>
        <c:axId val="1977702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44383"/>
        <c:crossesAt val="0"/>
        <c:crossBetween val="midCat"/>
        <c:majorUnit val="20000"/>
      </c:valAx>
      <c:spPr>
        <a:noFill/>
        <a:ln w="25400" cap="flat" cmpd="sng" algn="ctr">
          <a:solidFill>
            <a:schemeClr val="dk1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74342151891507391"/>
          <c:y val="0.30418552059588999"/>
          <c:w val="0.2458983268001006"/>
          <c:h val="0.21689106479366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Shortfall graph'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Loan Payment Summary'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368301</xdr:colOff>
      <xdr:row>2</xdr:row>
      <xdr:rowOff>138288</xdr:rowOff>
    </xdr:from>
    <xdr:to>
      <xdr:col>3</xdr:col>
      <xdr:colOff>1024118</xdr:colOff>
      <xdr:row>14</xdr:row>
      <xdr:rowOff>177799</xdr:rowOff>
    </xdr:to>
    <xdr:grpSp>
      <xdr:nvGrpSpPr>
        <xdr:cNvPr id="4102" name="Group 6">
          <a:extLst>
            <a:ext uri="{FF2B5EF4-FFF2-40B4-BE49-F238E27FC236}">
              <a16:creationId xmlns:a16="http://schemas.microsoft.com/office/drawing/2014/main" id="{4C80B823-55AE-40EA-9C11-05C61A34F0A8}"/>
            </a:ext>
          </a:extLst>
        </xdr:cNvPr>
        <xdr:cNvGrpSpPr>
          <a:grpSpLocks/>
        </xdr:cNvGrpSpPr>
      </xdr:nvGrpSpPr>
      <xdr:grpSpPr bwMode="auto">
        <a:xfrm>
          <a:off x="4542368" y="527755"/>
          <a:ext cx="1942750" cy="2376311"/>
          <a:chOff x="5452714" y="1024222"/>
          <a:chExt cx="1728889" cy="2273577"/>
        </a:xfrm>
      </xdr:grpSpPr>
      <xdr:sp macro="" textlink="">
        <xdr:nvSpPr>
          <xdr:cNvPr id="4" name="Rounded Rectangle 3">
            <a:extLst>
              <a:ext uri="{FF2B5EF4-FFF2-40B4-BE49-F238E27FC236}">
                <a16:creationId xmlns:a16="http://schemas.microsoft.com/office/drawing/2014/main" id="{4BAB96EF-1BB8-420B-BEC4-6DE7626DB73D}"/>
              </a:ext>
            </a:extLst>
          </xdr:cNvPr>
          <xdr:cNvSpPr/>
        </xdr:nvSpPr>
        <xdr:spPr>
          <a:xfrm>
            <a:off x="5452714" y="1024222"/>
            <a:ext cx="1728889" cy="2273577"/>
          </a:xfrm>
          <a:prstGeom prst="roundRect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ZA" sz="1100" b="0" cap="none" spc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Enter</a:t>
            </a:r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the information (incl VAT) in the red blocks. </a:t>
            </a:r>
          </a:p>
          <a:p>
            <a:pPr algn="ctr"/>
            <a:endParaRPr lang="en-ZA" sz="1100" b="0" cap="none" spc="0" baseline="0">
              <a:ln w="0">
                <a:solidFill>
                  <a:srgbClr val="C00000"/>
                </a:solidFill>
              </a:ln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  <a:p>
            <a:pPr algn="ctr">
              <a:lnSpc>
                <a:spcPts val="1200"/>
              </a:lnSpc>
            </a:pPr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Click "Next" to view the Shortfall Graph.</a:t>
            </a:r>
            <a:endParaRPr lang="en-ZA" sz="1100">
              <a:ln w="0">
                <a:solidFill>
                  <a:srgbClr val="C00000"/>
                </a:solidFill>
              </a:ln>
              <a:solidFill>
                <a:srgbClr val="C00000"/>
              </a:solidFill>
            </a:endParaRPr>
          </a:p>
        </xdr:txBody>
      </xdr:sp>
      <xdr:pic>
        <xdr:nvPicPr>
          <xdr:cNvPr id="4104" name="Picture 2">
            <a:extLst>
              <a:ext uri="{FF2B5EF4-FFF2-40B4-BE49-F238E27FC236}">
                <a16:creationId xmlns:a16="http://schemas.microsoft.com/office/drawing/2014/main" id="{B34A2B7F-1232-4B0F-839D-0355B19B5C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55056" y="2531036"/>
            <a:ext cx="1303548" cy="4298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Right Arrow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1E8F184-A645-4AEB-91D2-304BE74ADDFF}"/>
              </a:ext>
            </a:extLst>
          </xdr:cNvPr>
          <xdr:cNvSpPr/>
        </xdr:nvSpPr>
        <xdr:spPr>
          <a:xfrm>
            <a:off x="5839954" y="1988123"/>
            <a:ext cx="1112263" cy="450367"/>
          </a:xfrm>
          <a:prstGeom prst="rightArrow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ZA" sz="1100" b="1"/>
              <a:t>NEXT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</xdr:row>
      <xdr:rowOff>180975</xdr:rowOff>
    </xdr:from>
    <xdr:to>
      <xdr:col>14</xdr:col>
      <xdr:colOff>114300</xdr:colOff>
      <xdr:row>11</xdr:row>
      <xdr:rowOff>104775</xdr:rowOff>
    </xdr:to>
    <xdr:grpSp>
      <xdr:nvGrpSpPr>
        <xdr:cNvPr id="5124" name="Group 6">
          <a:extLst>
            <a:ext uri="{FF2B5EF4-FFF2-40B4-BE49-F238E27FC236}">
              <a16:creationId xmlns:a16="http://schemas.microsoft.com/office/drawing/2014/main" id="{81D25A73-E684-4C68-BC17-68C9471F0770}"/>
            </a:ext>
          </a:extLst>
        </xdr:cNvPr>
        <xdr:cNvGrpSpPr>
          <a:grpSpLocks/>
        </xdr:cNvGrpSpPr>
      </xdr:nvGrpSpPr>
      <xdr:grpSpPr bwMode="auto">
        <a:xfrm>
          <a:off x="7571317" y="375708"/>
          <a:ext cx="3329516" cy="2209800"/>
          <a:chOff x="6752167" y="402166"/>
          <a:chExt cx="3337277" cy="2208390"/>
        </a:xfrm>
      </xdr:grpSpPr>
      <xdr:sp macro="" textlink="">
        <xdr:nvSpPr>
          <xdr:cNvPr id="4" name="Rounded Rectangle 3">
            <a:extLst>
              <a:ext uri="{FF2B5EF4-FFF2-40B4-BE49-F238E27FC236}">
                <a16:creationId xmlns:a16="http://schemas.microsoft.com/office/drawing/2014/main" id="{FC227A2F-7417-408E-958A-A1078FFBF7EA}"/>
              </a:ext>
            </a:extLst>
          </xdr:cNvPr>
          <xdr:cNvSpPr/>
        </xdr:nvSpPr>
        <xdr:spPr>
          <a:xfrm>
            <a:off x="6752167" y="402166"/>
            <a:ext cx="3337277" cy="2208390"/>
          </a:xfrm>
          <a:prstGeom prst="roundRect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ZA" sz="1100" b="0" cap="none" spc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This table shows the monthly</a:t>
            </a:r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schedule of loan repayments due.</a:t>
            </a:r>
          </a:p>
          <a:p>
            <a:pPr algn="ctr"/>
            <a:endParaRPr lang="en-ZA" sz="1100" b="0" cap="none" spc="0" baseline="0">
              <a:ln w="0">
                <a:solidFill>
                  <a:srgbClr val="C00000"/>
                </a:solidFill>
              </a:ln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  <a:p>
            <a:pPr algn="ctr"/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The schedule assumes that all payments will be made as and when they are due.</a:t>
            </a:r>
          </a:p>
          <a:p>
            <a:pPr algn="ctr"/>
            <a:endParaRPr lang="en-ZA" sz="1100" b="0" cap="none" spc="0" baseline="0">
              <a:ln w="0">
                <a:solidFill>
                  <a:srgbClr val="C00000"/>
                </a:solidFill>
              </a:ln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  <a:p>
            <a:pPr algn="ctr"/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Click "Next" to view the loan payment summary.</a:t>
            </a:r>
            <a:endParaRPr lang="en-ZA" sz="1100">
              <a:ln w="0">
                <a:solidFill>
                  <a:srgbClr val="C00000"/>
                </a:solidFill>
              </a:ln>
              <a:solidFill>
                <a:srgbClr val="C00000"/>
              </a:solidFill>
            </a:endParaRPr>
          </a:p>
        </xdr:txBody>
      </xdr:sp>
      <xdr:pic>
        <xdr:nvPicPr>
          <xdr:cNvPr id="5126" name="Picture 4">
            <a:extLst>
              <a:ext uri="{FF2B5EF4-FFF2-40B4-BE49-F238E27FC236}">
                <a16:creationId xmlns:a16="http://schemas.microsoft.com/office/drawing/2014/main" id="{811FFA93-A6A1-43D2-AA40-28A1933E22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56780" y="1883832"/>
            <a:ext cx="1550324" cy="5112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Right Arrow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4D9712C-33FB-4033-A939-DD759B3A82CF}"/>
              </a:ext>
            </a:extLst>
          </xdr:cNvPr>
          <xdr:cNvSpPr/>
        </xdr:nvSpPr>
        <xdr:spPr>
          <a:xfrm>
            <a:off x="8788303" y="2003960"/>
            <a:ext cx="1122358" cy="454947"/>
          </a:xfrm>
          <a:prstGeom prst="rightArrow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ZA" sz="1100" b="1"/>
              <a:t>NEXT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3</xdr:row>
      <xdr:rowOff>143510</xdr:rowOff>
    </xdr:from>
    <xdr:to>
      <xdr:col>8</xdr:col>
      <xdr:colOff>390525</xdr:colOff>
      <xdr:row>18</xdr:row>
      <xdr:rowOff>67310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3E3DCF3-808F-4C6F-9F9F-1FAB02969138}"/>
            </a:ext>
          </a:extLst>
        </xdr:cNvPr>
        <xdr:cNvGrpSpPr/>
      </xdr:nvGrpSpPr>
      <xdr:grpSpPr>
        <a:xfrm>
          <a:off x="2867025" y="692150"/>
          <a:ext cx="3497580" cy="2644140"/>
          <a:chOff x="2740025" y="711200"/>
          <a:chExt cx="3549650" cy="2464270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A522B312-D261-4D2A-AF37-0ABA5616454B}"/>
              </a:ext>
            </a:extLst>
          </xdr:cNvPr>
          <xdr:cNvSpPr/>
        </xdr:nvSpPr>
        <xdr:spPr bwMode="auto">
          <a:xfrm>
            <a:off x="2756300" y="711200"/>
            <a:ext cx="3533375" cy="497372"/>
          </a:xfrm>
          <a:prstGeom prst="roundRect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ZA" sz="1100" b="0" cap="none" spc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These</a:t>
            </a:r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are the total capital and interest repayments that will be made for the term of the loan agreement.</a:t>
            </a:r>
          </a:p>
        </xdr:txBody>
      </xdr:sp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C782251B-ACCC-4357-9C45-B200D1B5545D}"/>
              </a:ext>
            </a:extLst>
          </xdr:cNvPr>
          <xdr:cNvSpPr/>
        </xdr:nvSpPr>
        <xdr:spPr bwMode="auto">
          <a:xfrm>
            <a:off x="2740025" y="1324148"/>
            <a:ext cx="3533375" cy="1851322"/>
          </a:xfrm>
          <a:prstGeom prst="roundRect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ZA" sz="1100" b="0" cap="none" spc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Alternatively, you</a:t>
            </a:r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can view the total capital and interest repayments made at any point during the loan term.</a:t>
            </a:r>
          </a:p>
          <a:p>
            <a:pPr algn="ctr"/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Furthermore, you can see the outstanding capital amount at this point in time. </a:t>
            </a:r>
          </a:p>
          <a:p>
            <a:pPr algn="ctr"/>
            <a:r>
              <a:rPr lang="en-ZA" sz="1100" b="0" cap="none" spc="0" baseline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Simply enter the month at which you wish to view this information.</a:t>
            </a:r>
            <a:r>
              <a:rPr lang="en-ZA" sz="1100" b="0" cap="none" spc="0">
                <a:ln w="0">
                  <a:solidFill>
                    <a:srgbClr val="C00000"/>
                  </a:solidFill>
                </a:ln>
                <a:solidFill>
                  <a:srgbClr val="C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  <a:endParaRPr lang="en-ZA" sz="1100" b="0" cap="none" spc="0" baseline="0">
              <a:ln w="0">
                <a:solidFill>
                  <a:srgbClr val="C00000"/>
                </a:solidFill>
              </a:ln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pic>
        <xdr:nvPicPr>
          <xdr:cNvPr id="6148" name="Picture 3">
            <a:extLst>
              <a:ext uri="{FF2B5EF4-FFF2-40B4-BE49-F238E27FC236}">
                <a16:creationId xmlns:a16="http://schemas.microsoft.com/office/drawing/2014/main" id="{00D3E5CA-282A-40CC-B43F-BF4F146A1F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07712" y="2567437"/>
            <a:ext cx="1539290" cy="5112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69066</xdr:colOff>
      <xdr:row>0</xdr:row>
      <xdr:rowOff>69270</xdr:rowOff>
    </xdr:from>
    <xdr:to>
      <xdr:col>21</xdr:col>
      <xdr:colOff>55418</xdr:colOff>
      <xdr:row>44</xdr:row>
      <xdr:rowOff>13853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A6228-F7F6-7973-3C7C-D8C55F4A5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436417</xdr:colOff>
      <xdr:row>7</xdr:row>
      <xdr:rowOff>124690</xdr:rowOff>
    </xdr:from>
    <xdr:to>
      <xdr:col>20</xdr:col>
      <xdr:colOff>554182</xdr:colOff>
      <xdr:row>9</xdr:row>
      <xdr:rowOff>110836</xdr:rowOff>
    </xdr:to>
    <xdr:sp macro="" textlink="template!AA2">
      <xdr:nvSpPr>
        <xdr:cNvPr id="3" name="TextBox 2">
          <a:extLst>
            <a:ext uri="{FF2B5EF4-FFF2-40B4-BE49-F238E27FC236}">
              <a16:creationId xmlns:a16="http://schemas.microsoft.com/office/drawing/2014/main" id="{3E98D11D-4328-C140-5CF0-FE2009670B00}"/>
            </a:ext>
          </a:extLst>
        </xdr:cNvPr>
        <xdr:cNvSpPr txBox="1"/>
      </xdr:nvSpPr>
      <xdr:spPr>
        <a:xfrm>
          <a:off x="9580417" y="1288472"/>
          <a:ext cx="3165765" cy="318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FD926AC6-C269-402A-A6FB-F0C2FA119EB5}" type="TxLink">
            <a:rPr lang="en-US" sz="1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Client: Sean Van Wyk</a:t>
          </a:fld>
          <a:endParaRPr lang="en-ZA" sz="1800" b="1">
            <a:solidFill>
              <a:srgbClr val="002060"/>
            </a:solidFill>
          </a:endParaRPr>
        </a:p>
      </xdr:txBody>
    </xdr:sp>
    <xdr:clientData/>
  </xdr:twoCellAnchor>
  <xdr:twoCellAnchor>
    <xdr:from>
      <xdr:col>15</xdr:col>
      <xdr:colOff>484910</xdr:colOff>
      <xdr:row>28</xdr:row>
      <xdr:rowOff>69272</xdr:rowOff>
    </xdr:from>
    <xdr:to>
      <xdr:col>20</xdr:col>
      <xdr:colOff>554182</xdr:colOff>
      <xdr:row>33</xdr:row>
      <xdr:rowOff>41564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066DF9-FA8C-BBBF-B236-172675B6EBD5}"/>
            </a:ext>
          </a:extLst>
        </xdr:cNvPr>
        <xdr:cNvSpPr txBox="1"/>
      </xdr:nvSpPr>
      <xdr:spPr>
        <a:xfrm>
          <a:off x="9628910" y="4724399"/>
          <a:ext cx="3117272" cy="803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ZA" sz="1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information contained in this document has been explained to me by the Business Manager, and I have all the necessary information to make an informed decision whether to purchase Top Up.</a:t>
          </a:r>
          <a:endParaRPr lang="en-ZA" sz="800" b="1" i="1" u="none" strike="noStrike">
            <a:solidFill>
              <a:sysClr val="windowText" lastClr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15</xdr:col>
      <xdr:colOff>484910</xdr:colOff>
      <xdr:row>41</xdr:row>
      <xdr:rowOff>41564</xdr:rowOff>
    </xdr:from>
    <xdr:to>
      <xdr:col>20</xdr:col>
      <xdr:colOff>581890</xdr:colOff>
      <xdr:row>43</xdr:row>
      <xdr:rowOff>1</xdr:rowOff>
    </xdr:to>
    <xdr:sp macro="" textlink="template!AA5">
      <xdr:nvSpPr>
        <xdr:cNvPr id="6" name="TextBox 5">
          <a:extLst>
            <a:ext uri="{FF2B5EF4-FFF2-40B4-BE49-F238E27FC236}">
              <a16:creationId xmlns:a16="http://schemas.microsoft.com/office/drawing/2014/main" id="{7599D4D5-6DDF-6F2C-284B-01C23B2046EA}"/>
            </a:ext>
          </a:extLst>
        </xdr:cNvPr>
        <xdr:cNvSpPr txBox="1"/>
      </xdr:nvSpPr>
      <xdr:spPr>
        <a:xfrm>
          <a:off x="9628910" y="6858000"/>
          <a:ext cx="3144980" cy="290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2849E19-257E-419A-82F1-84E0DD63499C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2026/05/19</a:t>
          </a:fld>
          <a:endParaRPr lang="en-ZA" sz="1100" b="1" i="0" u="none" strike="noStrike">
            <a:solidFill>
              <a:sysClr val="windowText" lastClr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76201</xdr:colOff>
      <xdr:row>44</xdr:row>
      <xdr:rowOff>97972</xdr:rowOff>
    </xdr:from>
    <xdr:to>
      <xdr:col>21</xdr:col>
      <xdr:colOff>1</xdr:colOff>
      <xdr:row>63</xdr:row>
      <xdr:rowOff>141514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094B3E-8143-4138-9421-BC3ACB5AD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32658</xdr:colOff>
      <xdr:row>62</xdr:row>
      <xdr:rowOff>21771</xdr:rowOff>
    </xdr:from>
    <xdr:to>
      <xdr:col>15</xdr:col>
      <xdr:colOff>406730</xdr:colOff>
      <xdr:row>63</xdr:row>
      <xdr:rowOff>88075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C89C39-30DD-40B6-94F7-9B9E2133F9F4}"/>
            </a:ext>
          </a:extLst>
        </xdr:cNvPr>
        <xdr:cNvSpPr txBox="1"/>
      </xdr:nvSpPr>
      <xdr:spPr>
        <a:xfrm>
          <a:off x="1251858" y="10145485"/>
          <a:ext cx="8298872" cy="22959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200" b="1" i="1" u="none" strike="noStrike">
              <a:solidFill>
                <a:sysClr val="windowText" lastClr="000000"/>
              </a:solidFill>
              <a:latin typeface="Calibri"/>
              <a:cs typeface="Calibri"/>
            </a:rPr>
            <a:t>Disclaimer: For Illustrative Purposes</a:t>
          </a:r>
          <a:r>
            <a:rPr lang="en-ZA" sz="1200" b="1" i="1" u="none" strike="noStrike" baseline="0">
              <a:solidFill>
                <a:sysClr val="windowText" lastClr="000000"/>
              </a:solidFill>
              <a:latin typeface="Calibri"/>
              <a:cs typeface="Calibri"/>
            </a:rPr>
            <a:t> Only. Subject to Change</a:t>
          </a:r>
          <a:endParaRPr lang="en-ZA" sz="1200" b="1" i="1" u="none" strike="noStrike">
            <a:solidFill>
              <a:sysClr val="windowText" lastClr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16</xdr:col>
      <xdr:colOff>65313</xdr:colOff>
      <xdr:row>58</xdr:row>
      <xdr:rowOff>21772</xdr:rowOff>
    </xdr:from>
    <xdr:to>
      <xdr:col>19</xdr:col>
      <xdr:colOff>568435</xdr:colOff>
      <xdr:row>62</xdr:row>
      <xdr:rowOff>31626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6D907B-7A0F-99C4-38B5-AB50ADBF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8913" y="9492343"/>
          <a:ext cx="2331922" cy="662997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0.74477</cdr:x>
      <cdr:y>0.23494</cdr:y>
    </cdr:from>
    <cdr:to>
      <cdr:x>0.99025</cdr:x>
      <cdr:y>0.28112</cdr:y>
    </cdr:to>
    <cdr:sp macro="" textlink="template!$AA$3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3E98D11D-4328-C140-5CF0-FE2009670B00}"/>
            </a:ext>
          </a:extLst>
        </cdr:cNvPr>
        <cdr:cNvSpPr txBox="1"/>
      </cdr:nvSpPr>
      <cdr:spPr>
        <a:xfrm xmlns:a="http://schemas.openxmlformats.org/drawingml/2006/main">
          <a:off x="9524092" y="1620981"/>
          <a:ext cx="3139169" cy="31865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C03752BC-4647-43ED-A781-7EBF170AE834}" type="TxLink">
            <a:rPr lang="en-US" sz="1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Transaction number: ZAETC123456789</a:t>
          </a:fld>
          <a:endParaRPr lang="en-ZA" sz="1800" b="1">
            <a:solidFill>
              <a:srgbClr val="002060"/>
            </a:solidFill>
          </a:endParaRPr>
        </a:p>
      </cdr:txBody>
    </cdr:sp>
  </cdr:relSizeAnchor>
  <cdr:relSizeAnchor xmlns:cdr="http://schemas.openxmlformats.org/drawingml/2006/chartDrawing">
    <cdr:from>
      <cdr:x>0.74514</cdr:x>
      <cdr:y>0.29719</cdr:y>
    </cdr:from>
    <cdr:to>
      <cdr:x>0.99025</cdr:x>
      <cdr:y>0.33936</cdr:y>
    </cdr:to>
    <cdr:sp macro="" textlink="template!$AA$4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570CDB34-09DD-B59D-17F2-B3688E0FC7D5}"/>
            </a:ext>
          </a:extLst>
        </cdr:cNvPr>
        <cdr:cNvSpPr txBox="1"/>
      </cdr:nvSpPr>
      <cdr:spPr>
        <a:xfrm xmlns:a="http://schemas.openxmlformats.org/drawingml/2006/main">
          <a:off x="9528861" y="2050472"/>
          <a:ext cx="3134402" cy="2909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59BC08C3-59C5-4212-8F6B-4AC450726A33}" type="TxLink">
            <a:rPr lang="en-US" sz="1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Monthly Premium: R 310</a:t>
          </a:fld>
          <a:endParaRPr lang="en-ZA" sz="2400" b="1">
            <a:solidFill>
              <a:srgbClr val="002060"/>
            </a:solidFill>
          </a:endParaRPr>
        </a:p>
      </cdr:txBody>
    </cdr:sp>
  </cdr:relSizeAnchor>
  <cdr:relSizeAnchor xmlns:cdr="http://schemas.openxmlformats.org/drawingml/2006/chartDrawing">
    <cdr:from>
      <cdr:x>0.74733</cdr:x>
      <cdr:y>0.54008</cdr:y>
    </cdr:from>
    <cdr:to>
      <cdr:x>0.99133</cdr:x>
      <cdr:y>0.7064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DEAD30F-0AA8-F492-6C8D-5D38A18ED351}"/>
            </a:ext>
          </a:extLst>
        </cdr:cNvPr>
        <cdr:cNvSpPr txBox="1"/>
      </cdr:nvSpPr>
      <cdr:spPr>
        <a:xfrm xmlns:a="http://schemas.openxmlformats.org/drawingml/2006/main">
          <a:off x="9556820" y="3920839"/>
          <a:ext cx="3120260" cy="120747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ZA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t>Client</a:t>
          </a:r>
          <a:r>
            <a:rPr lang="en-ZA" sz="1400" b="1" i="0" u="none" strike="noStrike" baseline="0">
              <a:solidFill>
                <a:sysClr val="windowText" lastClr="000000"/>
              </a:solidFill>
              <a:latin typeface="Calibri"/>
              <a:cs typeface="Calibri"/>
            </a:rPr>
            <a:t> Signature:</a:t>
          </a:r>
          <a:endParaRPr lang="en-ZA" sz="1400" b="1" i="0" u="none" strike="noStrike">
            <a:solidFill>
              <a:sysClr val="windowText" lastClr="000000"/>
            </a:solidFill>
            <a:latin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0.74731</cdr:x>
      <cdr:y>0.77587</cdr:y>
    </cdr:from>
    <cdr:to>
      <cdr:x>0.99242</cdr:x>
      <cdr:y>0.91715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40AF7051-D8AB-0871-16C6-4C092440E6D5}"/>
            </a:ext>
          </a:extLst>
        </cdr:cNvPr>
        <cdr:cNvSpPr txBox="1"/>
      </cdr:nvSpPr>
      <cdr:spPr>
        <a:xfrm xmlns:a="http://schemas.openxmlformats.org/drawingml/2006/main">
          <a:off x="9556564" y="5632677"/>
          <a:ext cx="3134455" cy="102566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ZA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t>Business</a:t>
          </a:r>
          <a:r>
            <a:rPr lang="en-ZA" sz="1400" b="1" i="0" u="none" strike="noStrike" baseline="0">
              <a:solidFill>
                <a:sysClr val="windowText" lastClr="000000"/>
              </a:solidFill>
              <a:latin typeface="Calibri"/>
              <a:cs typeface="Calibri"/>
            </a:rPr>
            <a:t> Manager Signature:</a:t>
          </a:r>
          <a:endParaRPr lang="en-ZA" sz="1400" b="1" i="0" u="none" strike="noStrike">
            <a:solidFill>
              <a:sysClr val="windowText" lastClr="000000"/>
            </a:solidFill>
            <a:latin typeface="Calibri"/>
            <a:cs typeface="Calibri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387927</xdr:colOff>
      <xdr:row>3</xdr:row>
      <xdr:rowOff>0</xdr:rowOff>
    </xdr:from>
    <xdr:ext cx="184731" cy="2488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739224-FF7E-D3AE-D3A5-AE31C4F92D9B}"/>
            </a:ext>
          </a:extLst>
        </xdr:cNvPr>
        <xdr:cNvSpPr txBox="1"/>
      </xdr:nvSpPr>
      <xdr:spPr>
        <a:xfrm>
          <a:off x="46232618" y="609600"/>
          <a:ext cx="184731" cy="248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ZA" sz="1000" b="1" i="0" u="none" strike="noStrike">
            <a:solidFill>
              <a:sysClr val="windowText" lastClr="000000"/>
            </a:solidFill>
            <a:latin typeface="Calibri"/>
            <a:cs typeface="Calibri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000" b="1" i="0" u="none" strike="noStrike">
            <a:solidFill>
              <a:sysClr val="windowText" lastClr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J45"/>
  <sheetViews>
    <sheetView tabSelected="1" zoomScale="90" zoomScaleNormal="90" workbookViewId="0">
      <selection activeCell="B9" sqref="B9"/>
    </sheetView>
  </sheetViews>
  <sheetFormatPr defaultColWidth="9.21875" defaultRowHeight="16.05" customHeight="1" x14ac:dyDescent="0.25"/>
  <cols>
    <col min="1" max="1" width="41.21875" style="8" bestFit="1" customWidth="1"/>
    <col min="2" max="2" width="19.6640625" style="2" customWidth="1"/>
    <col min="3" max="6" width="18.77734375" style="2" customWidth="1"/>
    <col min="7" max="7" width="15.21875" style="3" customWidth="1"/>
    <col min="8" max="8" width="3.5546875" style="4" customWidth="1"/>
    <col min="9" max="9" width="9.21875" style="5" customWidth="1"/>
    <col min="10" max="10" width="14.5546875" style="2" customWidth="1"/>
    <col min="11" max="16384" width="9.21875" style="4"/>
  </cols>
  <sheetData>
    <row r="1" spans="1:9" s="2" customFormat="1" ht="16.05" customHeight="1" x14ac:dyDescent="0.25">
      <c r="A1" s="97" t="s">
        <v>9</v>
      </c>
      <c r="B1" s="97"/>
      <c r="G1" s="3"/>
      <c r="H1" s="4"/>
      <c r="I1" s="5"/>
    </row>
    <row r="2" spans="1:9" s="2" customFormat="1" ht="16.05" customHeight="1" thickBot="1" x14ac:dyDescent="0.3">
      <c r="A2" s="55"/>
      <c r="B2" s="55"/>
      <c r="G2" s="3"/>
      <c r="H2" s="4"/>
      <c r="I2" s="5"/>
    </row>
    <row r="3" spans="1:9" s="2" customFormat="1" ht="16.05" customHeight="1" thickBot="1" x14ac:dyDescent="0.3">
      <c r="A3" s="12" t="s">
        <v>47</v>
      </c>
      <c r="B3" s="79" t="s">
        <v>83</v>
      </c>
      <c r="G3" s="3"/>
      <c r="H3" s="4"/>
      <c r="I3" s="5"/>
    </row>
    <row r="4" spans="1:9" s="2" customFormat="1" ht="16.05" customHeight="1" thickBot="1" x14ac:dyDescent="0.3">
      <c r="A4" s="12" t="s">
        <v>85</v>
      </c>
      <c r="B4" s="79" t="s">
        <v>48</v>
      </c>
      <c r="G4" s="3"/>
      <c r="H4" s="4"/>
      <c r="I4" s="5"/>
    </row>
    <row r="5" spans="1:9" s="2" customFormat="1" ht="16.05" customHeight="1" thickBot="1" x14ac:dyDescent="0.3">
      <c r="A5" s="1"/>
      <c r="G5" s="3"/>
      <c r="H5" s="4"/>
      <c r="I5" s="5"/>
    </row>
    <row r="6" spans="1:9" s="2" customFormat="1" ht="16.05" customHeight="1" thickBot="1" x14ac:dyDescent="0.3">
      <c r="A6" s="12" t="s">
        <v>51</v>
      </c>
      <c r="B6" s="9" t="s">
        <v>49</v>
      </c>
      <c r="G6" s="3"/>
      <c r="H6" s="4"/>
      <c r="I6" s="5"/>
    </row>
    <row r="7" spans="1:9" s="2" customFormat="1" ht="16.05" customHeight="1" thickBot="1" x14ac:dyDescent="0.3">
      <c r="A7" s="1"/>
      <c r="G7" s="3"/>
      <c r="H7" s="4"/>
      <c r="I7" s="5"/>
    </row>
    <row r="8" spans="1:9" s="2" customFormat="1" ht="16.05" customHeight="1" thickBot="1" x14ac:dyDescent="0.3">
      <c r="A8" s="12" t="s">
        <v>32</v>
      </c>
      <c r="B8" s="9">
        <v>500000</v>
      </c>
      <c r="G8" s="3"/>
      <c r="H8" s="4"/>
      <c r="I8" s="5"/>
    </row>
    <row r="9" spans="1:9" s="2" customFormat="1" ht="16.05" customHeight="1" thickBot="1" x14ac:dyDescent="0.3">
      <c r="A9" s="12" t="s">
        <v>0</v>
      </c>
      <c r="B9" s="11">
        <v>0</v>
      </c>
      <c r="G9" s="3"/>
      <c r="H9" s="4"/>
      <c r="I9" s="5"/>
    </row>
    <row r="10" spans="1:9" s="2" customFormat="1" ht="16.05" customHeight="1" thickTop="1" thickBot="1" x14ac:dyDescent="0.3">
      <c r="A10" s="6" t="s">
        <v>2</v>
      </c>
      <c r="B10" s="18">
        <f>B8-B9</f>
        <v>500000</v>
      </c>
      <c r="G10" s="3"/>
      <c r="H10" s="4"/>
      <c r="I10" s="5"/>
    </row>
    <row r="11" spans="1:9" s="2" customFormat="1" ht="16.05" customHeight="1" thickTop="1" thickBot="1" x14ac:dyDescent="0.3">
      <c r="A11" s="6"/>
      <c r="B11" s="19"/>
      <c r="G11" s="3"/>
      <c r="H11" s="4"/>
      <c r="I11" s="5"/>
    </row>
    <row r="12" spans="1:9" s="2" customFormat="1" ht="16.05" customHeight="1" thickBot="1" x14ac:dyDescent="0.3">
      <c r="A12" s="12" t="s">
        <v>1</v>
      </c>
      <c r="B12" s="11">
        <v>1207.5</v>
      </c>
      <c r="G12" s="3"/>
      <c r="H12" s="4"/>
      <c r="I12" s="5"/>
    </row>
    <row r="13" spans="1:9" s="2" customFormat="1" ht="16.05" customHeight="1" thickTop="1" thickBot="1" x14ac:dyDescent="0.3">
      <c r="A13" s="6" t="s">
        <v>86</v>
      </c>
      <c r="B13" s="18">
        <f>SUM(B10:B12)</f>
        <v>501207.5</v>
      </c>
      <c r="G13" s="3"/>
      <c r="H13" s="4"/>
      <c r="I13" s="5"/>
    </row>
    <row r="14" spans="1:9" s="2" customFormat="1" ht="16.05" customHeight="1" thickTop="1" thickBot="1" x14ac:dyDescent="0.3">
      <c r="A14" s="6"/>
      <c r="G14" s="3"/>
      <c r="H14" s="4"/>
      <c r="I14" s="5"/>
    </row>
    <row r="15" spans="1:9" s="2" customFormat="1" ht="16.05" customHeight="1" thickBot="1" x14ac:dyDescent="0.3">
      <c r="A15" s="10" t="s">
        <v>4</v>
      </c>
      <c r="B15" s="13">
        <v>0.11</v>
      </c>
      <c r="G15" s="3"/>
      <c r="H15" s="4"/>
      <c r="I15" s="5"/>
    </row>
    <row r="16" spans="1:9" s="2" customFormat="1" ht="16.05" customHeight="1" thickBot="1" x14ac:dyDescent="0.3">
      <c r="A16" s="10" t="s">
        <v>3</v>
      </c>
      <c r="B16" s="14">
        <v>72</v>
      </c>
      <c r="G16" s="3"/>
      <c r="H16" s="4"/>
      <c r="I16" s="5"/>
    </row>
    <row r="17" spans="1:9" s="2" customFormat="1" ht="16.05" customHeight="1" thickBot="1" x14ac:dyDescent="0.3">
      <c r="A17" s="10" t="s">
        <v>5</v>
      </c>
      <c r="B17" s="15" t="s">
        <v>6</v>
      </c>
      <c r="G17" s="3"/>
      <c r="H17" s="4"/>
      <c r="I17" s="5"/>
    </row>
    <row r="18" spans="1:9" s="2" customFormat="1" ht="16.05" customHeight="1" thickTop="1" thickBot="1" x14ac:dyDescent="0.3">
      <c r="A18" s="6" t="s">
        <v>7</v>
      </c>
      <c r="B18" s="18">
        <f>IF(B17="Advance",PMT(B15/12,B16,-$B$13,0,1),PMT(B15/12,B16,-$B$13,0,0))</f>
        <v>9540.0231507462522</v>
      </c>
      <c r="G18" s="3"/>
      <c r="H18" s="4"/>
      <c r="I18" s="5"/>
    </row>
    <row r="19" spans="1:9" s="2" customFormat="1" ht="16.05" customHeight="1" thickTop="1" thickBot="1" x14ac:dyDescent="0.3">
      <c r="A19" s="6"/>
      <c r="G19" s="3"/>
      <c r="H19" s="4"/>
      <c r="I19" s="5"/>
    </row>
    <row r="20" spans="1:9" s="2" customFormat="1" ht="16.05" customHeight="1" thickBot="1" x14ac:dyDescent="0.3">
      <c r="A20" s="10" t="s">
        <v>28</v>
      </c>
      <c r="B20" s="11">
        <v>170000</v>
      </c>
      <c r="G20" s="3"/>
      <c r="H20" s="4"/>
      <c r="I20" s="5"/>
    </row>
    <row r="21" spans="1:9" s="2" customFormat="1" ht="16.05" customHeight="1" thickTop="1" thickBot="1" x14ac:dyDescent="0.3">
      <c r="A21" s="6" t="s">
        <v>27</v>
      </c>
      <c r="B21" s="18">
        <f>PMT(B15/12,B16,-$B$13,B20,IF(B17="Advance",1,0))</f>
        <v>7862.5630539595995</v>
      </c>
      <c r="C21" s="56">
        <f>B20/'Depreciation Parameters'!B3</f>
        <v>0.34</v>
      </c>
      <c r="G21" s="3"/>
      <c r="H21" s="4"/>
      <c r="I21" s="5"/>
    </row>
    <row r="22" spans="1:9" s="2" customFormat="1" ht="16.05" customHeight="1" thickTop="1" thickBot="1" x14ac:dyDescent="0.3">
      <c r="A22" s="6"/>
      <c r="G22" s="3"/>
      <c r="H22" s="4"/>
      <c r="I22" s="5"/>
    </row>
    <row r="23" spans="1:9" s="2" customFormat="1" ht="16.05" customHeight="1" thickBot="1" x14ac:dyDescent="0.3">
      <c r="A23" s="10" t="s">
        <v>31</v>
      </c>
      <c r="B23" s="11">
        <v>69</v>
      </c>
      <c r="G23" s="3"/>
      <c r="H23" s="4"/>
      <c r="I23" s="5"/>
    </row>
    <row r="24" spans="1:9" s="2" customFormat="1" ht="16.05" customHeight="1" thickTop="1" thickBot="1" x14ac:dyDescent="0.3">
      <c r="A24" s="6" t="s">
        <v>30</v>
      </c>
      <c r="B24" s="18">
        <f>B21+B23</f>
        <v>7931.5630539595995</v>
      </c>
      <c r="G24" s="3"/>
      <c r="H24" s="4"/>
      <c r="I24" s="5"/>
    </row>
    <row r="25" spans="1:9" s="2" customFormat="1" ht="16.05" customHeight="1" thickTop="1" thickBot="1" x14ac:dyDescent="0.3">
      <c r="A25" s="6"/>
      <c r="G25" s="3"/>
      <c r="H25" s="4"/>
      <c r="I25" s="5"/>
    </row>
    <row r="26" spans="1:9" s="2" customFormat="1" ht="16.05" customHeight="1" thickBot="1" x14ac:dyDescent="0.3">
      <c r="A26" s="6" t="s">
        <v>8</v>
      </c>
      <c r="B26" s="16">
        <v>45200</v>
      </c>
      <c r="G26" s="3"/>
      <c r="H26" s="4"/>
      <c r="I26" s="5"/>
    </row>
    <row r="27" spans="1:9" s="2" customFormat="1" ht="16.05" customHeight="1" x14ac:dyDescent="0.25">
      <c r="A27" s="4"/>
      <c r="B27" s="7"/>
      <c r="G27" s="3"/>
      <c r="H27" s="4"/>
      <c r="I27" s="5"/>
    </row>
    <row r="28" spans="1:9" ht="28.2" thickBot="1" x14ac:dyDescent="0.3">
      <c r="A28" s="59" t="s">
        <v>75</v>
      </c>
      <c r="B28" s="96" t="s">
        <v>94</v>
      </c>
    </row>
    <row r="29" spans="1:9" ht="14.4" thickBot="1" x14ac:dyDescent="0.3">
      <c r="A29" s="6" t="s">
        <v>74</v>
      </c>
      <c r="B29" s="60" t="s">
        <v>54</v>
      </c>
    </row>
    <row r="30" spans="1:9" ht="16.05" customHeight="1" thickBot="1" x14ac:dyDescent="0.3">
      <c r="A30" s="59" t="s">
        <v>82</v>
      </c>
      <c r="B30" s="82">
        <f>VLOOKUP(B28&amp;B29,template!$D:$F,2,FALSE)+(B8*VLOOKUP(B28&amp;B29,template!$D:$F,3,FALSE))</f>
        <v>310</v>
      </c>
    </row>
    <row r="31" spans="1:9" ht="16.05" customHeight="1" thickBot="1" x14ac:dyDescent="0.3">
      <c r="A31" s="59"/>
    </row>
    <row r="32" spans="1:9" ht="16.05" hidden="1" customHeight="1" thickBot="1" x14ac:dyDescent="0.3">
      <c r="A32" s="59" t="s">
        <v>87</v>
      </c>
      <c r="B32" s="16" t="s">
        <v>88</v>
      </c>
    </row>
    <row r="33" spans="1:3" ht="16.05" hidden="1" customHeight="1" thickBot="1" x14ac:dyDescent="0.3">
      <c r="A33" s="65" t="s">
        <v>79</v>
      </c>
      <c r="B33" s="63" t="s">
        <v>80</v>
      </c>
      <c r="C33" s="64" t="s">
        <v>88</v>
      </c>
    </row>
    <row r="34" spans="1:3" ht="16.05" hidden="1" customHeight="1" thickBot="1" x14ac:dyDescent="0.3">
      <c r="A34" s="59" t="s">
        <v>37</v>
      </c>
      <c r="B34" s="66" cm="1">
        <f t="array" ref="B34:B39">IF(B33="Overide",'Depreciation Parameters'!#REF!,IF('Loan Input Parameters'!B6="New",'Depreciation Parameters'!$B$4:$B$9,IF('Loan Input Parameters'!B6="Demo",'Depreciation Parameters'!$C$4:$C$9,IF('Loan Input Parameters'!B6="Used",'Depreciation Parameters'!$D$4:$D$9))))</f>
        <v>0.23</v>
      </c>
      <c r="C34" s="69">
        <v>0.22</v>
      </c>
    </row>
    <row r="35" spans="1:3" ht="16.05" hidden="1" customHeight="1" thickBot="1" x14ac:dyDescent="0.3">
      <c r="A35" s="59" t="s">
        <v>38</v>
      </c>
      <c r="B35" s="67">
        <v>0.15</v>
      </c>
      <c r="C35" s="69">
        <v>0.18</v>
      </c>
    </row>
    <row r="36" spans="1:3" ht="16.05" hidden="1" customHeight="1" thickBot="1" x14ac:dyDescent="0.3">
      <c r="A36" s="59" t="s">
        <v>39</v>
      </c>
      <c r="B36" s="67">
        <v>0.11</v>
      </c>
      <c r="C36" s="69">
        <v>0.15</v>
      </c>
    </row>
    <row r="37" spans="1:3" ht="16.05" hidden="1" customHeight="1" thickBot="1" x14ac:dyDescent="0.3">
      <c r="A37" s="59" t="s">
        <v>40</v>
      </c>
      <c r="B37" s="67">
        <v>0.11</v>
      </c>
      <c r="C37" s="69">
        <v>0.13</v>
      </c>
    </row>
    <row r="38" spans="1:3" ht="16.05" hidden="1" customHeight="1" thickBot="1" x14ac:dyDescent="0.3">
      <c r="A38" s="59" t="s">
        <v>41</v>
      </c>
      <c r="B38" s="67">
        <v>0.11</v>
      </c>
      <c r="C38" s="69">
        <v>0.09</v>
      </c>
    </row>
    <row r="39" spans="1:3" ht="16.05" hidden="1" customHeight="1" thickBot="1" x14ac:dyDescent="0.3">
      <c r="A39" s="59" t="s">
        <v>42</v>
      </c>
      <c r="B39" s="68">
        <v>0.1</v>
      </c>
      <c r="C39" s="69">
        <v>0.06</v>
      </c>
    </row>
    <row r="40" spans="1:3" ht="16.05" hidden="1" customHeight="1" thickBot="1" x14ac:dyDescent="0.3"/>
    <row r="41" spans="1:3" ht="16.05" customHeight="1" thickBot="1" x14ac:dyDescent="0.3">
      <c r="A41" s="10" t="s">
        <v>92</v>
      </c>
      <c r="B41" s="13">
        <v>0</v>
      </c>
    </row>
    <row r="42" spans="1:3" ht="16.05" customHeight="1" thickBot="1" x14ac:dyDescent="0.3">
      <c r="A42" s="10" t="s">
        <v>93</v>
      </c>
      <c r="B42" s="9">
        <v>0</v>
      </c>
    </row>
    <row r="45" spans="1:3" ht="16.05" customHeight="1" x14ac:dyDescent="0.25">
      <c r="A45" s="98" t="s">
        <v>26</v>
      </c>
      <c r="B45" s="98"/>
    </row>
  </sheetData>
  <sheetProtection algorithmName="SHA-512" hashValue="bQSAeQigxr/do0QN4f7g6+76f1qsDl99iU+I9UuqNpSJ6zmw4w+qHP6XvFmgqykXK9dcMiDXcmM8ZSM46Olx9g==" saltValue="OEjZe3/AmxDQFxyehOEStw==" spinCount="100000" sheet="1" objects="1" formatCells="0" formatColumns="0" formatRows="0" insertColumns="0" insertRows="0" insertHyperlinks="0" deleteColumns="0" deleteRows="0" sort="0" autoFilter="0" pivotTables="0"/>
  <mergeCells count="2">
    <mergeCell ref="A1:B1"/>
    <mergeCell ref="A45:B45"/>
  </mergeCells>
  <dataValidations count="7">
    <dataValidation allowBlank="1" showInputMessage="1" showErrorMessage="1" promptTitle="Is there a balloon payment?" prompt="Enter the Rand value of the balloon payment." sqref="B20" xr:uid="{00000000-0002-0000-0000-000000000000}"/>
    <dataValidation allowBlank="1" showInputMessage="1" showErrorMessage="1" promptTitle="Fees to be financed" prompt="Include any fees which will be paid upfront and included in the financing arrangement." sqref="B12" xr:uid="{00000000-0002-0000-0000-000001000000}"/>
    <dataValidation allowBlank="1" showInputMessage="1" showErrorMessage="1" promptTitle="Is there a Deposit?" prompt="Example:_x000a_Enter 5000 for a R5,000 deposit; or_x000a_Enter 0 for no deposit." sqref="B9" xr:uid="{00000000-0002-0000-0000-000002000000}"/>
    <dataValidation type="decimal" allowBlank="1" showInputMessage="1" showErrorMessage="1" errorTitle="Invalid Input" error="This value must be entered as a percentage between 0% and 100%." promptTitle="Annual Interest Rate" prompt="Enter the annual interest rate as a percentage. This interest rate will be applied thoughout the loan agreement term." sqref="B15" xr:uid="{00000000-0002-0000-0000-000004000000}">
      <formula1>0</formula1>
      <formula2>1</formula2>
    </dataValidation>
    <dataValidation type="whole" allowBlank="1" showInputMessage="1" showErrorMessage="1" errorTitle="Invalid Loan Period" error="The loan period should be an integer value between 1 and 84." promptTitle="Loan Period in Months" prompt="Enter a loan period between 1 and 96 months." sqref="B16" xr:uid="{00000000-0002-0000-0000-000005000000}">
      <formula1>1</formula1>
      <formula2>96</formula2>
    </dataValidation>
    <dataValidation type="list" allowBlank="1" showInputMessage="1" showErrorMessage="1" promptTitle="Loan Repayment Type" prompt="Select whether the loan is repaid at the beginning (in advance) or end (in arrears) of a month." sqref="B17" xr:uid="{00000000-0002-0000-0000-000006000000}">
      <formula1>"Advance,Arrears"</formula1>
    </dataValidation>
    <dataValidation type="date" operator="greaterThan" allowBlank="1" showInputMessage="1" showErrorMessage="1" errorTitle="Invalid Date" error="This is not a valid date - the date should be entered according to the Regional Date settings." promptTitle="Loan Start Date" prompt="Enter the date of the first loan repayment." sqref="B26" xr:uid="{00000000-0002-0000-0000-000007000000}">
      <formula1>367</formula1>
    </dataValidation>
  </dataValidations>
  <printOptions horizontalCentered="1"/>
  <pageMargins left="0.7" right="0.7" top="0.75" bottom="0.75" header="0.3" footer="0.3"/>
  <pageSetup paperSize="9" scale="54" fitToHeight="0" orientation="portrait" r:id="rId1"/>
  <headerFooter alignWithMargins="0"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E87411-B573-4971-8361-F28F97E4F073}">
          <x14:formula1>
            <xm:f>template!$Y$2:$Y$3</xm:f>
          </x14:formula1>
          <xm:sqref>B32</xm:sqref>
        </x14:dataValidation>
        <x14:dataValidation type="list" allowBlank="1" showInputMessage="1" showErrorMessage="1" xr:uid="{98368779-D72C-4E6E-B756-2E621B06A32D}">
          <x14:formula1>
            <xm:f>template!$W$2:$W$4</xm:f>
          </x14:formula1>
          <xm:sqref>B6</xm:sqref>
        </x14:dataValidation>
        <x14:dataValidation type="list" allowBlank="1" showInputMessage="1" showErrorMessage="1" xr:uid="{4F04C4A8-46F0-4ED4-96F8-F6C0952750D7}">
          <x14:formula1>
            <xm:f>IF($B$28="TRAFICC TOP-UP (G305)",template!$Q$2:$Q$8,IF($B$28="TRAFICC RETURN TO INVOICE (G305)",template!$S$2:$S$5,IF($B$28="TRAFICC TAXI OWNERS TOP-UP (G305T)",template!$Q$2:$Q$3)))</xm:f>
          </x14:formula1>
          <xm:sqref>B29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99"/>
  <sheetViews>
    <sheetView zoomScale="90" zoomScaleNormal="90" workbookViewId="0">
      <pane ySplit="3" topLeftCell="A4" activePane="bottomLeft" state="frozen"/>
      <selection pane="bottomLeft" activeCell="A100" sqref="A100"/>
    </sheetView>
  </sheetViews>
  <sheetFormatPr defaultColWidth="9.21875" defaultRowHeight="16.05" customHeight="1" x14ac:dyDescent="0.3"/>
  <cols>
    <col min="1" max="1" width="11.5546875" style="35" customWidth="1"/>
    <col min="2" max="2" width="11.5546875" style="22" customWidth="1"/>
    <col min="3" max="5" width="11.5546875" style="20" customWidth="1"/>
    <col min="6" max="6" width="12.77734375" style="20" customWidth="1"/>
    <col min="7" max="8" width="11.5546875" style="20" customWidth="1"/>
    <col min="9" max="9" width="11.5546875" style="24" customWidth="1"/>
    <col min="10" max="10" width="14.5546875" style="20" customWidth="1"/>
    <col min="11" max="16384" width="9.21875" style="35"/>
  </cols>
  <sheetData>
    <row r="1" spans="1:9" s="20" customFormat="1" ht="16.05" customHeight="1" x14ac:dyDescent="0.3">
      <c r="A1" s="99" t="s">
        <v>15</v>
      </c>
      <c r="B1" s="99"/>
      <c r="C1" s="99"/>
      <c r="D1" s="99"/>
      <c r="E1" s="99"/>
      <c r="F1" s="99"/>
      <c r="G1" s="99"/>
      <c r="H1" s="99"/>
      <c r="I1" s="99"/>
    </row>
    <row r="2" spans="1:9" s="20" customFormat="1" ht="16.05" customHeight="1" thickBot="1" x14ac:dyDescent="0.35">
      <c r="A2" s="21"/>
      <c r="B2" s="22"/>
      <c r="C2" s="21"/>
      <c r="D2" s="23"/>
      <c r="I2" s="24"/>
    </row>
    <row r="3" spans="1:9" s="29" customFormat="1" ht="42" thickBot="1" x14ac:dyDescent="0.35">
      <c r="A3" s="25" t="s">
        <v>11</v>
      </c>
      <c r="B3" s="26" t="s">
        <v>10</v>
      </c>
      <c r="C3" s="27" t="s">
        <v>13</v>
      </c>
      <c r="D3" s="27" t="s">
        <v>12</v>
      </c>
      <c r="E3" s="27" t="s">
        <v>14</v>
      </c>
      <c r="F3" s="27" t="s">
        <v>29</v>
      </c>
      <c r="G3" s="27" t="s">
        <v>84</v>
      </c>
      <c r="H3" s="27" t="s">
        <v>24</v>
      </c>
      <c r="I3" s="28" t="s">
        <v>25</v>
      </c>
    </row>
    <row r="4" spans="1:9" s="20" customFormat="1" ht="16.05" customHeight="1" thickBot="1" x14ac:dyDescent="0.35">
      <c r="A4" s="30">
        <v>1</v>
      </c>
      <c r="B4" s="31">
        <f>EOMONTH('Loan Input Parameters'!B26,0)</f>
        <v>45230</v>
      </c>
      <c r="C4" s="32">
        <f>'Loan Input Parameters'!B13</f>
        <v>501207.5</v>
      </c>
      <c r="D4" s="32">
        <f>IF(A4&lt;'Loan Input Parameters'!$B$16,'Loan Input Parameters'!$B$24,IF(A4='Loan Input Parameters'!$B$16,'Loan Input Parameters'!$B$24+'Loan Input Parameters'!$B$20,0))</f>
        <v>7931.5630539595995</v>
      </c>
      <c r="E4" s="32">
        <f>IF('Loan Input Parameters'!$B$17="Advance",0,C4*'Loan Input Parameters'!$B$15/12)</f>
        <v>4594.4020833333334</v>
      </c>
      <c r="F4" s="32">
        <f>IF(A4&lt;='Loan Input Parameters'!$B$16,'Loan Input Parameters'!$B$23,0)</f>
        <v>69</v>
      </c>
      <c r="G4" s="32">
        <f>D4-E4-F4</f>
        <v>3268.1609706262661</v>
      </c>
      <c r="H4" s="32">
        <f t="shared" ref="H4:H67" si="0">C4-G4</f>
        <v>497939.33902937372</v>
      </c>
      <c r="I4" s="33">
        <f>H4/'Loan Input Parameters'!$B$13</f>
        <v>0.99347942524677646</v>
      </c>
    </row>
    <row r="5" spans="1:9" s="20" customFormat="1" ht="16.05" customHeight="1" thickBot="1" x14ac:dyDescent="0.35">
      <c r="A5" s="30">
        <v>2</v>
      </c>
      <c r="B5" s="34">
        <f>EOMONTH(B4,1)</f>
        <v>45260</v>
      </c>
      <c r="C5" s="32">
        <f t="shared" ref="C5:C68" si="1">IF(ROUND(H4,0)&gt;0,H4,0)</f>
        <v>497939.33902937372</v>
      </c>
      <c r="D5" s="32">
        <f>IF(A5&lt;'Loan Input Parameters'!$B$16,'Loan Input Parameters'!$B$24,IF(A5='Loan Input Parameters'!$B$16,'Loan Input Parameters'!$B$24+'Loan Input Parameters'!$B$20,0))</f>
        <v>7931.5630539595995</v>
      </c>
      <c r="E5" s="32">
        <f>C5*'Loan Input Parameters'!$B$15/12</f>
        <v>4564.4439411025924</v>
      </c>
      <c r="F5" s="32">
        <f>IF(A5&lt;='Loan Input Parameters'!$B$16,'Loan Input Parameters'!$B$23,0)</f>
        <v>69</v>
      </c>
      <c r="G5" s="32">
        <f t="shared" ref="G5:G68" si="2">D5-E5-F5</f>
        <v>3298.1191128570072</v>
      </c>
      <c r="H5" s="32">
        <f t="shared" si="0"/>
        <v>494641.21991651668</v>
      </c>
      <c r="I5" s="33">
        <f>H5/'Loan Input Parameters'!$B$13</f>
        <v>0.98689907855831505</v>
      </c>
    </row>
    <row r="6" spans="1:9" s="20" customFormat="1" ht="16.05" customHeight="1" thickBot="1" x14ac:dyDescent="0.35">
      <c r="A6" s="30">
        <v>3</v>
      </c>
      <c r="B6" s="34">
        <f t="shared" ref="B6:B69" si="3">EOMONTH(B5,1)</f>
        <v>45291</v>
      </c>
      <c r="C6" s="32">
        <f t="shared" si="1"/>
        <v>494641.21991651668</v>
      </c>
      <c r="D6" s="32">
        <f>IF(A6&lt;'Loan Input Parameters'!$B$16,'Loan Input Parameters'!$B$24,IF(A6='Loan Input Parameters'!$B$16,'Loan Input Parameters'!$B$24+'Loan Input Parameters'!$B$20,0))</f>
        <v>7931.5630539595995</v>
      </c>
      <c r="E6" s="32">
        <f>C6*'Loan Input Parameters'!$B$15/12</f>
        <v>4534.2111825680695</v>
      </c>
      <c r="F6" s="32">
        <f>IF(A6&lt;='Loan Input Parameters'!$B$16,'Loan Input Parameters'!$B$23,0)</f>
        <v>69</v>
      </c>
      <c r="G6" s="32">
        <f t="shared" si="2"/>
        <v>3328.35187139153</v>
      </c>
      <c r="H6" s="32">
        <f t="shared" si="0"/>
        <v>491312.86804512516</v>
      </c>
      <c r="I6" s="33">
        <f>H6/'Loan Input Parameters'!$B$13</f>
        <v>0.98025841202520947</v>
      </c>
    </row>
    <row r="7" spans="1:9" s="20" customFormat="1" ht="16.05" customHeight="1" thickBot="1" x14ac:dyDescent="0.35">
      <c r="A7" s="30">
        <v>4</v>
      </c>
      <c r="B7" s="34">
        <f t="shared" si="3"/>
        <v>45322</v>
      </c>
      <c r="C7" s="32">
        <f t="shared" si="1"/>
        <v>491312.86804512516</v>
      </c>
      <c r="D7" s="32">
        <f>IF(A7&lt;'Loan Input Parameters'!$B$16,'Loan Input Parameters'!$B$24,IF(A7='Loan Input Parameters'!$B$16,'Loan Input Parameters'!$B$24+'Loan Input Parameters'!$B$20,0))</f>
        <v>7931.5630539595995</v>
      </c>
      <c r="E7" s="32">
        <f>C7*'Loan Input Parameters'!$B$15/12</f>
        <v>4503.7012904136473</v>
      </c>
      <c r="F7" s="32">
        <f>IF(A7&lt;='Loan Input Parameters'!$B$16,'Loan Input Parameters'!$B$23,0)</f>
        <v>69</v>
      </c>
      <c r="G7" s="32">
        <f t="shared" si="2"/>
        <v>3358.8617635459523</v>
      </c>
      <c r="H7" s="32">
        <f t="shared" si="0"/>
        <v>487954.0062815792</v>
      </c>
      <c r="I7" s="33">
        <f>H7/'Loan Input Parameters'!$B$13</f>
        <v>0.97355687271555036</v>
      </c>
    </row>
    <row r="8" spans="1:9" s="20" customFormat="1" ht="16.05" customHeight="1" thickBot="1" x14ac:dyDescent="0.35">
      <c r="A8" s="30">
        <v>5</v>
      </c>
      <c r="B8" s="34">
        <f t="shared" si="3"/>
        <v>45351</v>
      </c>
      <c r="C8" s="32">
        <f t="shared" si="1"/>
        <v>487954.0062815792</v>
      </c>
      <c r="D8" s="32">
        <f>IF(A8&lt;'Loan Input Parameters'!$B$16,'Loan Input Parameters'!$B$24,IF(A8='Loan Input Parameters'!$B$16,'Loan Input Parameters'!$B$24+'Loan Input Parameters'!$B$20,0))</f>
        <v>7931.5630539595995</v>
      </c>
      <c r="E8" s="32">
        <f>C8*'Loan Input Parameters'!$B$15/12</f>
        <v>4472.9117242478096</v>
      </c>
      <c r="F8" s="32">
        <f>IF(A8&lt;='Loan Input Parameters'!$B$16,'Loan Input Parameters'!$B$23,0)</f>
        <v>69</v>
      </c>
      <c r="G8" s="32">
        <f t="shared" si="2"/>
        <v>3389.6513297117899</v>
      </c>
      <c r="H8" s="32">
        <f t="shared" si="0"/>
        <v>484564.35495186743</v>
      </c>
      <c r="I8" s="33">
        <f>H8/'Loan Input Parameters'!$B$13</f>
        <v>0.96679390262888609</v>
      </c>
    </row>
    <row r="9" spans="1:9" s="20" customFormat="1" ht="16.05" customHeight="1" thickBot="1" x14ac:dyDescent="0.35">
      <c r="A9" s="30">
        <v>6</v>
      </c>
      <c r="B9" s="34">
        <f t="shared" si="3"/>
        <v>45382</v>
      </c>
      <c r="C9" s="32">
        <f t="shared" si="1"/>
        <v>484564.35495186743</v>
      </c>
      <c r="D9" s="32">
        <f>IF(A9&lt;'Loan Input Parameters'!$B$16,'Loan Input Parameters'!$B$24,IF(A9='Loan Input Parameters'!$B$16,'Loan Input Parameters'!$B$24+'Loan Input Parameters'!$B$20,0))</f>
        <v>7931.5630539595995</v>
      </c>
      <c r="E9" s="32">
        <f>C9*'Loan Input Parameters'!$B$15/12</f>
        <v>4441.8399203921181</v>
      </c>
      <c r="F9" s="32">
        <f>IF(A9&lt;='Loan Input Parameters'!$B$16,'Loan Input Parameters'!$B$23,0)</f>
        <v>69</v>
      </c>
      <c r="G9" s="32">
        <f t="shared" si="2"/>
        <v>3420.7231335674815</v>
      </c>
      <c r="H9" s="32">
        <f t="shared" si="0"/>
        <v>481143.63181829994</v>
      </c>
      <c r="I9" s="33">
        <f>H9/'Loan Input Parameters'!$B$13</f>
        <v>0.95996893864976074</v>
      </c>
    </row>
    <row r="10" spans="1:9" s="20" customFormat="1" ht="16.05" customHeight="1" thickBot="1" x14ac:dyDescent="0.35">
      <c r="A10" s="30">
        <v>7</v>
      </c>
      <c r="B10" s="34">
        <f t="shared" si="3"/>
        <v>45412</v>
      </c>
      <c r="C10" s="32">
        <f t="shared" si="1"/>
        <v>481143.63181829994</v>
      </c>
      <c r="D10" s="32">
        <f>IF(A10&lt;'Loan Input Parameters'!$B$16,'Loan Input Parameters'!$B$24,IF(A10='Loan Input Parameters'!$B$16,'Loan Input Parameters'!$B$24+'Loan Input Parameters'!$B$20,0))</f>
        <v>7931.5630539595995</v>
      </c>
      <c r="E10" s="32">
        <f>C10*'Loan Input Parameters'!$B$15/12</f>
        <v>4410.4832916677497</v>
      </c>
      <c r="F10" s="32">
        <f>IF(A10&lt;='Loan Input Parameters'!$B$16,'Loan Input Parameters'!$B$23,0)</f>
        <v>69</v>
      </c>
      <c r="G10" s="32">
        <f t="shared" si="2"/>
        <v>3452.0797622918499</v>
      </c>
      <c r="H10" s="32">
        <f t="shared" si="0"/>
        <v>477691.55205600808</v>
      </c>
      <c r="I10" s="33">
        <f>H10/'Loan Input Parameters'!$B$13</f>
        <v>0.95308141250082667</v>
      </c>
    </row>
    <row r="11" spans="1:9" s="20" customFormat="1" ht="16.05" customHeight="1" thickBot="1" x14ac:dyDescent="0.35">
      <c r="A11" s="30">
        <v>8</v>
      </c>
      <c r="B11" s="34">
        <f t="shared" si="3"/>
        <v>45443</v>
      </c>
      <c r="C11" s="32">
        <f t="shared" si="1"/>
        <v>477691.55205600808</v>
      </c>
      <c r="D11" s="32">
        <f>IF(A11&lt;'Loan Input Parameters'!$B$16,'Loan Input Parameters'!$B$24,IF(A11='Loan Input Parameters'!$B$16,'Loan Input Parameters'!$B$24+'Loan Input Parameters'!$B$20,0))</f>
        <v>7931.5630539595995</v>
      </c>
      <c r="E11" s="32">
        <f>C11*'Loan Input Parameters'!$B$15/12</f>
        <v>4378.839227180074</v>
      </c>
      <c r="F11" s="32">
        <f>IF(A11&lt;='Loan Input Parameters'!$B$16,'Loan Input Parameters'!$B$23,0)</f>
        <v>69</v>
      </c>
      <c r="G11" s="32">
        <f t="shared" si="2"/>
        <v>3483.7238267795256</v>
      </c>
      <c r="H11" s="32">
        <f t="shared" si="0"/>
        <v>474207.82822922856</v>
      </c>
      <c r="I11" s="33">
        <f>H11/'Loan Input Parameters'!$B$13</f>
        <v>0.94613075069552743</v>
      </c>
    </row>
    <row r="12" spans="1:9" s="20" customFormat="1" ht="16.05" customHeight="1" thickBot="1" x14ac:dyDescent="0.35">
      <c r="A12" s="30">
        <v>9</v>
      </c>
      <c r="B12" s="34">
        <f t="shared" si="3"/>
        <v>45473</v>
      </c>
      <c r="C12" s="32">
        <f t="shared" si="1"/>
        <v>474207.82822922856</v>
      </c>
      <c r="D12" s="32">
        <f>IF(A12&lt;'Loan Input Parameters'!$B$16,'Loan Input Parameters'!$B$24,IF(A12='Loan Input Parameters'!$B$16,'Loan Input Parameters'!$B$24+'Loan Input Parameters'!$B$20,0))</f>
        <v>7931.5630539595995</v>
      </c>
      <c r="E12" s="32">
        <f>C12*'Loan Input Parameters'!$B$15/12</f>
        <v>4346.9050921012613</v>
      </c>
      <c r="F12" s="32">
        <f>IF(A12&lt;='Loan Input Parameters'!$B$16,'Loan Input Parameters'!$B$23,0)</f>
        <v>69</v>
      </c>
      <c r="G12" s="32">
        <f t="shared" si="2"/>
        <v>3515.6579618583382</v>
      </c>
      <c r="H12" s="32">
        <f t="shared" si="0"/>
        <v>470692.17026737024</v>
      </c>
      <c r="I12" s="33">
        <f>H12/'Loan Input Parameters'!$B$13</f>
        <v>0.93911637449034624</v>
      </c>
    </row>
    <row r="13" spans="1:9" s="20" customFormat="1" ht="16.05" customHeight="1" thickBot="1" x14ac:dyDescent="0.35">
      <c r="A13" s="30">
        <v>10</v>
      </c>
      <c r="B13" s="34">
        <f t="shared" si="3"/>
        <v>45504</v>
      </c>
      <c r="C13" s="32">
        <f t="shared" si="1"/>
        <v>470692.17026737024</v>
      </c>
      <c r="D13" s="32">
        <f>IF(A13&lt;'Loan Input Parameters'!$B$16,'Loan Input Parameters'!$B$24,IF(A13='Loan Input Parameters'!$B$16,'Loan Input Parameters'!$B$24+'Loan Input Parameters'!$B$20,0))</f>
        <v>7931.5630539595995</v>
      </c>
      <c r="E13" s="32">
        <f>C13*'Loan Input Parameters'!$B$15/12</f>
        <v>4314.6782274508942</v>
      </c>
      <c r="F13" s="32">
        <f>IF(A13&lt;='Loan Input Parameters'!$B$16,'Loan Input Parameters'!$B$23,0)</f>
        <v>69</v>
      </c>
      <c r="G13" s="32">
        <f t="shared" si="2"/>
        <v>3547.8848265087054</v>
      </c>
      <c r="H13" s="32">
        <f t="shared" si="0"/>
        <v>467144.28544086154</v>
      </c>
      <c r="I13" s="33">
        <f>H13/'Loan Input Parameters'!$B$13</f>
        <v>0.93203769983661766</v>
      </c>
    </row>
    <row r="14" spans="1:9" s="20" customFormat="1" ht="16.05" customHeight="1" thickBot="1" x14ac:dyDescent="0.35">
      <c r="A14" s="30">
        <v>11</v>
      </c>
      <c r="B14" s="34">
        <f t="shared" si="3"/>
        <v>45535</v>
      </c>
      <c r="C14" s="32">
        <f t="shared" si="1"/>
        <v>467144.28544086154</v>
      </c>
      <c r="D14" s="32">
        <f>IF(A14&lt;'Loan Input Parameters'!$B$16,'Loan Input Parameters'!$B$24,IF(A14='Loan Input Parameters'!$B$16,'Loan Input Parameters'!$B$24+'Loan Input Parameters'!$B$20,0))</f>
        <v>7931.5630539595995</v>
      </c>
      <c r="E14" s="32">
        <f>C14*'Loan Input Parameters'!$B$15/12</f>
        <v>4282.1559498745637</v>
      </c>
      <c r="F14" s="32">
        <f>IF(A14&lt;='Loan Input Parameters'!$B$16,'Loan Input Parameters'!$B$23,0)</f>
        <v>69</v>
      </c>
      <c r="G14" s="32">
        <f t="shared" si="2"/>
        <v>3580.4071040850358</v>
      </c>
      <c r="H14" s="32">
        <f t="shared" si="0"/>
        <v>463563.87833677651</v>
      </c>
      <c r="I14" s="33">
        <f>H14/'Loan Input Parameters'!$B$13</f>
        <v>0.92489413733189652</v>
      </c>
    </row>
    <row r="15" spans="1:9" s="20" customFormat="1" ht="16.05" customHeight="1" thickBot="1" x14ac:dyDescent="0.35">
      <c r="A15" s="30">
        <v>12</v>
      </c>
      <c r="B15" s="34">
        <f t="shared" si="3"/>
        <v>45565</v>
      </c>
      <c r="C15" s="32">
        <f t="shared" si="1"/>
        <v>463563.87833677651</v>
      </c>
      <c r="D15" s="32">
        <f>IF(A15&lt;'Loan Input Parameters'!$B$16,'Loan Input Parameters'!$B$24,IF(A15='Loan Input Parameters'!$B$16,'Loan Input Parameters'!$B$24+'Loan Input Parameters'!$B$20,0))</f>
        <v>7931.5630539595995</v>
      </c>
      <c r="E15" s="32">
        <f>C15*'Loan Input Parameters'!$B$15/12</f>
        <v>4249.3355514204513</v>
      </c>
      <c r="F15" s="32">
        <f>IF(A15&lt;='Loan Input Parameters'!$B$16,'Loan Input Parameters'!$B$23,0)</f>
        <v>69</v>
      </c>
      <c r="G15" s="32">
        <f t="shared" si="2"/>
        <v>3613.2275025391482</v>
      </c>
      <c r="H15" s="32">
        <f t="shared" si="0"/>
        <v>459950.65083423734</v>
      </c>
      <c r="I15" s="33">
        <f>H15/'Loan Input Parameters'!$B$13</f>
        <v>0.91768509217088201</v>
      </c>
    </row>
    <row r="16" spans="1:9" s="20" customFormat="1" ht="16.05" customHeight="1" thickBot="1" x14ac:dyDescent="0.35">
      <c r="A16" s="30">
        <v>13</v>
      </c>
      <c r="B16" s="34">
        <f t="shared" si="3"/>
        <v>45596</v>
      </c>
      <c r="C16" s="32">
        <f t="shared" si="1"/>
        <v>459950.65083423734</v>
      </c>
      <c r="D16" s="32">
        <f>IF(A16&lt;'Loan Input Parameters'!$B$16,'Loan Input Parameters'!$B$24,IF(A16='Loan Input Parameters'!$B$16,'Loan Input Parameters'!$B$24+'Loan Input Parameters'!$B$20,0))</f>
        <v>7931.5630539595995</v>
      </c>
      <c r="E16" s="32">
        <f>C16*'Loan Input Parameters'!$B$15/12</f>
        <v>4216.2142993138423</v>
      </c>
      <c r="F16" s="32">
        <f>IF(A16&lt;='Loan Input Parameters'!$B$16,'Loan Input Parameters'!$B$23,0)</f>
        <v>69</v>
      </c>
      <c r="G16" s="32">
        <f t="shared" si="2"/>
        <v>3646.3487546457573</v>
      </c>
      <c r="H16" s="32">
        <f t="shared" si="0"/>
        <v>456304.30207959161</v>
      </c>
      <c r="I16" s="33">
        <f>H16/'Loan Input Parameters'!$B$13</f>
        <v>0.91040996409589159</v>
      </c>
    </row>
    <row r="17" spans="1:9" s="20" customFormat="1" ht="16.05" customHeight="1" thickBot="1" x14ac:dyDescent="0.35">
      <c r="A17" s="30">
        <v>14</v>
      </c>
      <c r="B17" s="34">
        <f t="shared" si="3"/>
        <v>45626</v>
      </c>
      <c r="C17" s="32">
        <f t="shared" si="1"/>
        <v>456304.30207959161</v>
      </c>
      <c r="D17" s="32">
        <f>IF(A17&lt;'Loan Input Parameters'!$B$16,'Loan Input Parameters'!$B$24,IF(A17='Loan Input Parameters'!$B$16,'Loan Input Parameters'!$B$24+'Loan Input Parameters'!$B$20,0))</f>
        <v>7931.5630539595995</v>
      </c>
      <c r="E17" s="32">
        <f>C17*'Loan Input Parameters'!$B$15/12</f>
        <v>4182.78943572959</v>
      </c>
      <c r="F17" s="32">
        <f>IF(A17&lt;='Loan Input Parameters'!$B$16,'Loan Input Parameters'!$B$23,0)</f>
        <v>69</v>
      </c>
      <c r="G17" s="32">
        <f t="shared" si="2"/>
        <v>3679.7736182300096</v>
      </c>
      <c r="H17" s="32">
        <f t="shared" si="0"/>
        <v>452624.52846136159</v>
      </c>
      <c r="I17" s="33">
        <f>H17/'Loan Input Parameters'!$B$13</f>
        <v>0.90306814734688046</v>
      </c>
    </row>
    <row r="18" spans="1:9" s="20" customFormat="1" ht="16.05" customHeight="1" thickBot="1" x14ac:dyDescent="0.35">
      <c r="A18" s="30">
        <v>15</v>
      </c>
      <c r="B18" s="34">
        <f t="shared" si="3"/>
        <v>45657</v>
      </c>
      <c r="C18" s="32">
        <f t="shared" si="1"/>
        <v>452624.52846136159</v>
      </c>
      <c r="D18" s="32">
        <f>IF(A18&lt;'Loan Input Parameters'!$B$16,'Loan Input Parameters'!$B$24,IF(A18='Loan Input Parameters'!$B$16,'Loan Input Parameters'!$B$24+'Loan Input Parameters'!$B$20,0))</f>
        <v>7931.5630539595995</v>
      </c>
      <c r="E18" s="32">
        <f>C18*'Loan Input Parameters'!$B$15/12</f>
        <v>4149.0581775624814</v>
      </c>
      <c r="F18" s="32">
        <f>IF(A18&lt;='Loan Input Parameters'!$B$16,'Loan Input Parameters'!$B$23,0)</f>
        <v>69</v>
      </c>
      <c r="G18" s="32">
        <f t="shared" si="2"/>
        <v>3713.5048763971181</v>
      </c>
      <c r="H18" s="32">
        <f t="shared" si="0"/>
        <v>448911.02358496445</v>
      </c>
      <c r="I18" s="33">
        <f>H18/'Loan Input Parameters'!$B$13</f>
        <v>0.89565903061100338</v>
      </c>
    </row>
    <row r="19" spans="1:9" s="20" customFormat="1" ht="16.05" customHeight="1" thickBot="1" x14ac:dyDescent="0.35">
      <c r="A19" s="30">
        <v>16</v>
      </c>
      <c r="B19" s="34">
        <f t="shared" si="3"/>
        <v>45688</v>
      </c>
      <c r="C19" s="32">
        <f t="shared" si="1"/>
        <v>448911.02358496445</v>
      </c>
      <c r="D19" s="32">
        <f>IF(A19&lt;'Loan Input Parameters'!$B$16,'Loan Input Parameters'!$B$24,IF(A19='Loan Input Parameters'!$B$16,'Loan Input Parameters'!$B$24+'Loan Input Parameters'!$B$20,0))</f>
        <v>7931.5630539595995</v>
      </c>
      <c r="E19" s="32">
        <f>C19*'Loan Input Parameters'!$B$15/12</f>
        <v>4115.017716195508</v>
      </c>
      <c r="F19" s="32">
        <f>IF(A19&lt;='Loan Input Parameters'!$B$16,'Loan Input Parameters'!$B$23,0)</f>
        <v>69</v>
      </c>
      <c r="G19" s="32">
        <f t="shared" si="2"/>
        <v>3747.5453377640915</v>
      </c>
      <c r="H19" s="32">
        <f t="shared" si="0"/>
        <v>445163.47824720037</v>
      </c>
      <c r="I19" s="33">
        <f>H19/'Loan Input Parameters'!$B$13</f>
        <v>0.88818199697171407</v>
      </c>
    </row>
    <row r="20" spans="1:9" s="20" customFormat="1" ht="16.05" customHeight="1" thickBot="1" x14ac:dyDescent="0.35">
      <c r="A20" s="30">
        <v>17</v>
      </c>
      <c r="B20" s="34">
        <f t="shared" si="3"/>
        <v>45716</v>
      </c>
      <c r="C20" s="32">
        <f t="shared" si="1"/>
        <v>445163.47824720037</v>
      </c>
      <c r="D20" s="32">
        <f>IF(A20&lt;'Loan Input Parameters'!$B$16,'Loan Input Parameters'!$B$24,IF(A20='Loan Input Parameters'!$B$16,'Loan Input Parameters'!$B$24+'Loan Input Parameters'!$B$20,0))</f>
        <v>7931.5630539595995</v>
      </c>
      <c r="E20" s="32">
        <f>C20*'Loan Input Parameters'!$B$15/12</f>
        <v>4080.6652172660033</v>
      </c>
      <c r="F20" s="32">
        <f>IF(A20&lt;='Loan Input Parameters'!$B$16,'Loan Input Parameters'!$B$23,0)</f>
        <v>69</v>
      </c>
      <c r="G20" s="32">
        <f t="shared" si="2"/>
        <v>3781.8978366935962</v>
      </c>
      <c r="H20" s="32">
        <f t="shared" si="0"/>
        <v>441381.58041050675</v>
      </c>
      <c r="I20" s="33">
        <f>H20/'Loan Input Parameters'!$B$13</f>
        <v>0.88063642385739793</v>
      </c>
    </row>
    <row r="21" spans="1:9" s="20" customFormat="1" ht="16.05" customHeight="1" thickBot="1" x14ac:dyDescent="0.35">
      <c r="A21" s="30">
        <v>18</v>
      </c>
      <c r="B21" s="34">
        <f t="shared" si="3"/>
        <v>45747</v>
      </c>
      <c r="C21" s="32">
        <f t="shared" si="1"/>
        <v>441381.58041050675</v>
      </c>
      <c r="D21" s="32">
        <f>IF(A21&lt;'Loan Input Parameters'!$B$16,'Loan Input Parameters'!$B$24,IF(A21='Loan Input Parameters'!$B$16,'Loan Input Parameters'!$B$24+'Loan Input Parameters'!$B$20,0))</f>
        <v>7931.5630539595995</v>
      </c>
      <c r="E21" s="32">
        <f>C21*'Loan Input Parameters'!$B$15/12</f>
        <v>4045.9978204296453</v>
      </c>
      <c r="F21" s="32">
        <f>IF(A21&lt;='Loan Input Parameters'!$B$16,'Loan Input Parameters'!$B$23,0)</f>
        <v>69</v>
      </c>
      <c r="G21" s="32">
        <f t="shared" si="2"/>
        <v>3816.5652335299542</v>
      </c>
      <c r="H21" s="32">
        <f t="shared" si="0"/>
        <v>437565.0151769768</v>
      </c>
      <c r="I21" s="33">
        <f>H21/'Loan Input Parameters'!$B$13</f>
        <v>0.87302168298953386</v>
      </c>
    </row>
    <row r="22" spans="1:9" s="20" customFormat="1" ht="16.05" customHeight="1" thickBot="1" x14ac:dyDescent="0.35">
      <c r="A22" s="30">
        <v>19</v>
      </c>
      <c r="B22" s="34">
        <f t="shared" si="3"/>
        <v>45777</v>
      </c>
      <c r="C22" s="32">
        <f t="shared" si="1"/>
        <v>437565.0151769768</v>
      </c>
      <c r="D22" s="32">
        <f>IF(A22&lt;'Loan Input Parameters'!$B$16,'Loan Input Parameters'!$B$24,IF(A22='Loan Input Parameters'!$B$16,'Loan Input Parameters'!$B$24+'Loan Input Parameters'!$B$20,0))</f>
        <v>7931.5630539595995</v>
      </c>
      <c r="E22" s="32">
        <f>C22*'Loan Input Parameters'!$B$15/12</f>
        <v>4011.0126391222875</v>
      </c>
      <c r="F22" s="32">
        <f>IF(A22&lt;='Loan Input Parameters'!$B$16,'Loan Input Parameters'!$B$23,0)</f>
        <v>69</v>
      </c>
      <c r="G22" s="32">
        <f t="shared" si="2"/>
        <v>3851.550414837312</v>
      </c>
      <c r="H22" s="32">
        <f t="shared" si="0"/>
        <v>433713.46476213948</v>
      </c>
      <c r="I22" s="33">
        <f>H22/'Loan Input Parameters'!$B$13</f>
        <v>0.86533714033038112</v>
      </c>
    </row>
    <row r="23" spans="1:9" s="20" customFormat="1" ht="16.05" customHeight="1" thickBot="1" x14ac:dyDescent="0.35">
      <c r="A23" s="30">
        <v>20</v>
      </c>
      <c r="B23" s="34">
        <f t="shared" si="3"/>
        <v>45808</v>
      </c>
      <c r="C23" s="32">
        <f t="shared" si="1"/>
        <v>433713.46476213948</v>
      </c>
      <c r="D23" s="32">
        <f>IF(A23&lt;'Loan Input Parameters'!$B$16,'Loan Input Parameters'!$B$24,IF(A23='Loan Input Parameters'!$B$16,'Loan Input Parameters'!$B$24+'Loan Input Parameters'!$B$20,0))</f>
        <v>7931.5630539595995</v>
      </c>
      <c r="E23" s="32">
        <f>C23*'Loan Input Parameters'!$B$15/12</f>
        <v>3975.7067603196119</v>
      </c>
      <c r="F23" s="32">
        <f>IF(A23&lt;='Loan Input Parameters'!$B$16,'Loan Input Parameters'!$B$23,0)</f>
        <v>69</v>
      </c>
      <c r="G23" s="32">
        <f t="shared" si="2"/>
        <v>3886.8562936399876</v>
      </c>
      <c r="H23" s="32">
        <f t="shared" si="0"/>
        <v>429826.6084684995</v>
      </c>
      <c r="I23" s="33">
        <f>H23/'Loan Input Parameters'!$B$13</f>
        <v>0.85758215603018606</v>
      </c>
    </row>
    <row r="24" spans="1:9" s="20" customFormat="1" ht="16.05" customHeight="1" thickBot="1" x14ac:dyDescent="0.35">
      <c r="A24" s="30">
        <v>21</v>
      </c>
      <c r="B24" s="34">
        <f t="shared" si="3"/>
        <v>45838</v>
      </c>
      <c r="C24" s="32">
        <f t="shared" si="1"/>
        <v>429826.6084684995</v>
      </c>
      <c r="D24" s="32">
        <f>IF(A24&lt;'Loan Input Parameters'!$B$16,'Loan Input Parameters'!$B$24,IF(A24='Loan Input Parameters'!$B$16,'Loan Input Parameters'!$B$24+'Loan Input Parameters'!$B$20,0))</f>
        <v>7931.5630539595995</v>
      </c>
      <c r="E24" s="32">
        <f>C24*'Loan Input Parameters'!$B$15/12</f>
        <v>3940.0772442945786</v>
      </c>
      <c r="F24" s="32">
        <f>IF(A24&lt;='Loan Input Parameters'!$B$16,'Loan Input Parameters'!$B$23,0)</f>
        <v>69</v>
      </c>
      <c r="G24" s="32">
        <f t="shared" si="2"/>
        <v>3922.485809665021</v>
      </c>
      <c r="H24" s="32">
        <f t="shared" si="0"/>
        <v>425904.1226588345</v>
      </c>
      <c r="I24" s="33">
        <f>H24/'Loan Input Parameters'!$B$13</f>
        <v>0.84975608437390604</v>
      </c>
    </row>
    <row r="25" spans="1:9" s="20" customFormat="1" ht="16.05" customHeight="1" thickBot="1" x14ac:dyDescent="0.35">
      <c r="A25" s="30">
        <v>22</v>
      </c>
      <c r="B25" s="34">
        <f t="shared" si="3"/>
        <v>45869</v>
      </c>
      <c r="C25" s="32">
        <f t="shared" si="1"/>
        <v>425904.1226588345</v>
      </c>
      <c r="D25" s="32">
        <f>IF(A25&lt;'Loan Input Parameters'!$B$16,'Loan Input Parameters'!$B$24,IF(A25='Loan Input Parameters'!$B$16,'Loan Input Parameters'!$B$24+'Loan Input Parameters'!$B$20,0))</f>
        <v>7931.5630539595995</v>
      </c>
      <c r="E25" s="32">
        <f>C25*'Loan Input Parameters'!$B$15/12</f>
        <v>3904.1211243726498</v>
      </c>
      <c r="F25" s="32">
        <f>IF(A25&lt;='Loan Input Parameters'!$B$16,'Loan Input Parameters'!$B$23,0)</f>
        <v>69</v>
      </c>
      <c r="G25" s="32">
        <f t="shared" si="2"/>
        <v>3958.4419295869498</v>
      </c>
      <c r="H25" s="32">
        <f t="shared" si="0"/>
        <v>421945.68072924757</v>
      </c>
      <c r="I25" s="33">
        <f>H25/'Loan Input Parameters'!$B$13</f>
        <v>0.84185827372744337</v>
      </c>
    </row>
    <row r="26" spans="1:9" s="20" customFormat="1" ht="16.05" customHeight="1" thickBot="1" x14ac:dyDescent="0.35">
      <c r="A26" s="30">
        <v>23</v>
      </c>
      <c r="B26" s="34">
        <f t="shared" si="3"/>
        <v>45900</v>
      </c>
      <c r="C26" s="32">
        <f t="shared" si="1"/>
        <v>421945.68072924757</v>
      </c>
      <c r="D26" s="32">
        <f>IF(A26&lt;'Loan Input Parameters'!$B$16,'Loan Input Parameters'!$B$24,IF(A26='Loan Input Parameters'!$B$16,'Loan Input Parameters'!$B$24+'Loan Input Parameters'!$B$20,0))</f>
        <v>7931.5630539595995</v>
      </c>
      <c r="E26" s="32">
        <f>C26*'Loan Input Parameters'!$B$15/12</f>
        <v>3867.8354066847696</v>
      </c>
      <c r="F26" s="32">
        <f>IF(A26&lt;='Loan Input Parameters'!$B$16,'Loan Input Parameters'!$B$23,0)</f>
        <v>69</v>
      </c>
      <c r="G26" s="32">
        <f t="shared" si="2"/>
        <v>3994.7276472748299</v>
      </c>
      <c r="H26" s="32">
        <f t="shared" si="0"/>
        <v>417950.95308197272</v>
      </c>
      <c r="I26" s="33">
        <f>H26/'Loan Input Parameters'!$B$13</f>
        <v>0.83388806648338809</v>
      </c>
    </row>
    <row r="27" spans="1:9" s="20" customFormat="1" ht="16.05" customHeight="1" thickBot="1" x14ac:dyDescent="0.35">
      <c r="A27" s="30">
        <v>24</v>
      </c>
      <c r="B27" s="34">
        <f t="shared" si="3"/>
        <v>45930</v>
      </c>
      <c r="C27" s="32">
        <f t="shared" si="1"/>
        <v>417950.95308197272</v>
      </c>
      <c r="D27" s="32">
        <f>IF(A27&lt;'Loan Input Parameters'!$B$16,'Loan Input Parameters'!$B$24,IF(A27='Loan Input Parameters'!$B$16,'Loan Input Parameters'!$B$24+'Loan Input Parameters'!$B$20,0))</f>
        <v>7931.5630539595995</v>
      </c>
      <c r="E27" s="32">
        <f>C27*'Loan Input Parameters'!$B$15/12</f>
        <v>3831.2170699180829</v>
      </c>
      <c r="F27" s="32">
        <f>IF(A27&lt;='Loan Input Parameters'!$B$16,'Loan Input Parameters'!$B$23,0)</f>
        <v>69</v>
      </c>
      <c r="G27" s="32">
        <f t="shared" si="2"/>
        <v>4031.3459840415162</v>
      </c>
      <c r="H27" s="32">
        <f t="shared" si="0"/>
        <v>413919.60709793121</v>
      </c>
      <c r="I27" s="33">
        <f>H27/'Loan Input Parameters'!$B$13</f>
        <v>0.82584479900626229</v>
      </c>
    </row>
    <row r="28" spans="1:9" s="20" customFormat="1" ht="16.05" customHeight="1" thickBot="1" x14ac:dyDescent="0.35">
      <c r="A28" s="30">
        <v>25</v>
      </c>
      <c r="B28" s="34">
        <f t="shared" si="3"/>
        <v>45961</v>
      </c>
      <c r="C28" s="32">
        <f t="shared" si="1"/>
        <v>413919.60709793121</v>
      </c>
      <c r="D28" s="32">
        <f>IF(A28&lt;'Loan Input Parameters'!$B$16,'Loan Input Parameters'!$B$24,IF(A28='Loan Input Parameters'!$B$16,'Loan Input Parameters'!$B$24+'Loan Input Parameters'!$B$20,0))</f>
        <v>7931.5630539595995</v>
      </c>
      <c r="E28" s="32">
        <f>C28*'Loan Input Parameters'!$B$15/12</f>
        <v>3794.2630650643696</v>
      </c>
      <c r="F28" s="32">
        <f>IF(A28&lt;='Loan Input Parameters'!$B$16,'Loan Input Parameters'!$B$23,0)</f>
        <v>69</v>
      </c>
      <c r="G28" s="32">
        <f t="shared" si="2"/>
        <v>4068.2999888952299</v>
      </c>
      <c r="H28" s="32">
        <f t="shared" si="0"/>
        <v>409851.30710903596</v>
      </c>
      <c r="I28" s="33">
        <f>H28/'Loan Input Parameters'!$B$13</f>
        <v>0.81772780157726288</v>
      </c>
    </row>
    <row r="29" spans="1:9" s="20" customFormat="1" ht="16.05" customHeight="1" thickBot="1" x14ac:dyDescent="0.35">
      <c r="A29" s="30">
        <v>26</v>
      </c>
      <c r="B29" s="34">
        <f t="shared" si="3"/>
        <v>45991</v>
      </c>
      <c r="C29" s="32">
        <f t="shared" si="1"/>
        <v>409851.30710903596</v>
      </c>
      <c r="D29" s="32">
        <f>IF(A29&lt;'Loan Input Parameters'!$B$16,'Loan Input Parameters'!$B$24,IF(A29='Loan Input Parameters'!$B$16,'Loan Input Parameters'!$B$24+'Loan Input Parameters'!$B$20,0))</f>
        <v>7931.5630539595995</v>
      </c>
      <c r="E29" s="32">
        <f>C29*'Loan Input Parameters'!$B$15/12</f>
        <v>3756.9703151661629</v>
      </c>
      <c r="F29" s="32">
        <f>IF(A29&lt;='Loan Input Parameters'!$B$16,'Loan Input Parameters'!$B$23,0)</f>
        <v>69</v>
      </c>
      <c r="G29" s="32">
        <f t="shared" si="2"/>
        <v>4105.5927387934371</v>
      </c>
      <c r="H29" s="32">
        <f t="shared" si="0"/>
        <v>405745.71437024249</v>
      </c>
      <c r="I29" s="33">
        <f>H29/'Loan Input Parameters'!$B$13</f>
        <v>0.80953639833849755</v>
      </c>
    </row>
    <row r="30" spans="1:9" s="20" customFormat="1" ht="16.05" customHeight="1" thickBot="1" x14ac:dyDescent="0.35">
      <c r="A30" s="30">
        <v>27</v>
      </c>
      <c r="B30" s="34">
        <f t="shared" si="3"/>
        <v>46022</v>
      </c>
      <c r="C30" s="32">
        <f t="shared" si="1"/>
        <v>405745.71437024249</v>
      </c>
      <c r="D30" s="32">
        <f>IF(A30&lt;'Loan Input Parameters'!$B$16,'Loan Input Parameters'!$B$24,IF(A30='Loan Input Parameters'!$B$16,'Loan Input Parameters'!$B$24+'Loan Input Parameters'!$B$20,0))</f>
        <v>7931.5630539595995</v>
      </c>
      <c r="E30" s="32">
        <f>C30*'Loan Input Parameters'!$B$15/12</f>
        <v>3719.3357150605566</v>
      </c>
      <c r="F30" s="32">
        <f>IF(A30&lt;='Loan Input Parameters'!$B$16,'Loan Input Parameters'!$B$23,0)</f>
        <v>69</v>
      </c>
      <c r="G30" s="32">
        <f t="shared" si="2"/>
        <v>4143.2273388990434</v>
      </c>
      <c r="H30" s="32">
        <f t="shared" si="0"/>
        <v>401602.48703134345</v>
      </c>
      <c r="I30" s="33">
        <f>H30/'Loan Input Parameters'!$B$13</f>
        <v>0.80126990723671021</v>
      </c>
    </row>
    <row r="31" spans="1:9" s="20" customFormat="1" ht="16.05" customHeight="1" thickBot="1" x14ac:dyDescent="0.35">
      <c r="A31" s="30">
        <v>28</v>
      </c>
      <c r="B31" s="34">
        <f t="shared" si="3"/>
        <v>46053</v>
      </c>
      <c r="C31" s="32">
        <f t="shared" si="1"/>
        <v>401602.48703134345</v>
      </c>
      <c r="D31" s="32">
        <f>IF(A31&lt;'Loan Input Parameters'!$B$16,'Loan Input Parameters'!$B$24,IF(A31='Loan Input Parameters'!$B$16,'Loan Input Parameters'!$B$24+'Loan Input Parameters'!$B$20,0))</f>
        <v>7931.5630539595995</v>
      </c>
      <c r="E31" s="32">
        <f>C31*'Loan Input Parameters'!$B$15/12</f>
        <v>3681.3561311206486</v>
      </c>
      <c r="F31" s="32">
        <f>IF(A31&lt;='Loan Input Parameters'!$B$16,'Loan Input Parameters'!$B$23,0)</f>
        <v>69</v>
      </c>
      <c r="G31" s="32">
        <f t="shared" si="2"/>
        <v>4181.206922838951</v>
      </c>
      <c r="H31" s="32">
        <f t="shared" si="0"/>
        <v>397421.28010850452</v>
      </c>
      <c r="I31" s="33">
        <f>H31/'Loan Input Parameters'!$B$13</f>
        <v>0.79292763996648996</v>
      </c>
    </row>
    <row r="32" spans="1:9" s="20" customFormat="1" ht="16.05" customHeight="1" thickBot="1" x14ac:dyDescent="0.35">
      <c r="A32" s="30">
        <v>29</v>
      </c>
      <c r="B32" s="34">
        <f t="shared" si="3"/>
        <v>46081</v>
      </c>
      <c r="C32" s="32">
        <f t="shared" si="1"/>
        <v>397421.28010850452</v>
      </c>
      <c r="D32" s="32">
        <f>IF(A32&lt;'Loan Input Parameters'!$B$16,'Loan Input Parameters'!$B$24,IF(A32='Loan Input Parameters'!$B$16,'Loan Input Parameters'!$B$24+'Loan Input Parameters'!$B$20,0))</f>
        <v>7931.5630539595995</v>
      </c>
      <c r="E32" s="32">
        <f>C32*'Loan Input Parameters'!$B$15/12</f>
        <v>3643.0284009946249</v>
      </c>
      <c r="F32" s="32">
        <f>IF(A32&lt;='Loan Input Parameters'!$B$16,'Loan Input Parameters'!$B$23,0)</f>
        <v>69</v>
      </c>
      <c r="G32" s="32">
        <f t="shared" si="2"/>
        <v>4219.5346529649742</v>
      </c>
      <c r="H32" s="32">
        <f t="shared" si="0"/>
        <v>393201.74545553955</v>
      </c>
      <c r="I32" s="33">
        <f>H32/'Loan Input Parameters'!$B$13</f>
        <v>0.7845089019129593</v>
      </c>
    </row>
    <row r="33" spans="1:9" s="20" customFormat="1" ht="16.05" customHeight="1" thickBot="1" x14ac:dyDescent="0.35">
      <c r="A33" s="30">
        <v>30</v>
      </c>
      <c r="B33" s="34">
        <f t="shared" si="3"/>
        <v>46112</v>
      </c>
      <c r="C33" s="32">
        <f t="shared" si="1"/>
        <v>393201.74545553955</v>
      </c>
      <c r="D33" s="32">
        <f>IF(A33&lt;'Loan Input Parameters'!$B$16,'Loan Input Parameters'!$B$24,IF(A33='Loan Input Parameters'!$B$16,'Loan Input Parameters'!$B$24+'Loan Input Parameters'!$B$20,0))</f>
        <v>7931.5630539595995</v>
      </c>
      <c r="E33" s="32">
        <f>C33*'Loan Input Parameters'!$B$15/12</f>
        <v>3604.3493333424462</v>
      </c>
      <c r="F33" s="32">
        <f>IF(A33&lt;='Loan Input Parameters'!$B$16,'Loan Input Parameters'!$B$23,0)</f>
        <v>69</v>
      </c>
      <c r="G33" s="32">
        <f t="shared" si="2"/>
        <v>4258.2137206171537</v>
      </c>
      <c r="H33" s="32">
        <f t="shared" si="0"/>
        <v>388943.53173492238</v>
      </c>
      <c r="I33" s="33">
        <f>H33/'Loan Input Parameters'!$B$13</f>
        <v>0.77601299209393793</v>
      </c>
    </row>
    <row r="34" spans="1:9" s="20" customFormat="1" ht="16.05" customHeight="1" thickBot="1" x14ac:dyDescent="0.35">
      <c r="A34" s="30">
        <v>31</v>
      </c>
      <c r="B34" s="34">
        <f t="shared" si="3"/>
        <v>46142</v>
      </c>
      <c r="C34" s="32">
        <f t="shared" si="1"/>
        <v>388943.53173492238</v>
      </c>
      <c r="D34" s="32">
        <f>IF(A34&lt;'Loan Input Parameters'!$B$16,'Loan Input Parameters'!$B$24,IF(A34='Loan Input Parameters'!$B$16,'Loan Input Parameters'!$B$24+'Loan Input Parameters'!$B$20,0))</f>
        <v>7931.5630539595995</v>
      </c>
      <c r="E34" s="32">
        <f>C34*'Loan Input Parameters'!$B$15/12</f>
        <v>3565.315707570122</v>
      </c>
      <c r="F34" s="32">
        <f>IF(A34&lt;='Loan Input Parameters'!$B$16,'Loan Input Parameters'!$B$23,0)</f>
        <v>69</v>
      </c>
      <c r="G34" s="32">
        <f t="shared" si="2"/>
        <v>4297.2473463894776</v>
      </c>
      <c r="H34" s="32">
        <f t="shared" si="0"/>
        <v>384646.28438853292</v>
      </c>
      <c r="I34" s="33">
        <f>H34/'Loan Input Parameters'!$B$13</f>
        <v>0.76743920310157554</v>
      </c>
    </row>
    <row r="35" spans="1:9" s="20" customFormat="1" ht="16.05" customHeight="1" thickBot="1" x14ac:dyDescent="0.35">
      <c r="A35" s="30">
        <v>32</v>
      </c>
      <c r="B35" s="34">
        <f t="shared" si="3"/>
        <v>46173</v>
      </c>
      <c r="C35" s="32">
        <f t="shared" si="1"/>
        <v>384646.28438853292</v>
      </c>
      <c r="D35" s="32">
        <f>IF(A35&lt;'Loan Input Parameters'!$B$16,'Loan Input Parameters'!$B$24,IF(A35='Loan Input Parameters'!$B$16,'Loan Input Parameters'!$B$24+'Loan Input Parameters'!$B$20,0))</f>
        <v>7931.5630539595995</v>
      </c>
      <c r="E35" s="32">
        <f>C35*'Loan Input Parameters'!$B$15/12</f>
        <v>3525.9242735615517</v>
      </c>
      <c r="F35" s="32">
        <f>IF(A35&lt;='Loan Input Parameters'!$B$16,'Loan Input Parameters'!$B$23,0)</f>
        <v>69</v>
      </c>
      <c r="G35" s="32">
        <f t="shared" si="2"/>
        <v>4336.6387803980479</v>
      </c>
      <c r="H35" s="32">
        <f t="shared" si="0"/>
        <v>380309.64560813486</v>
      </c>
      <c r="I35" s="33">
        <f>H35/'Loan Input Parameters'!$B$13</f>
        <v>0.75878682104344974</v>
      </c>
    </row>
    <row r="36" spans="1:9" s="20" customFormat="1" ht="16.05" customHeight="1" thickBot="1" x14ac:dyDescent="0.35">
      <c r="A36" s="30">
        <v>33</v>
      </c>
      <c r="B36" s="34">
        <f t="shared" si="3"/>
        <v>46203</v>
      </c>
      <c r="C36" s="32">
        <f t="shared" si="1"/>
        <v>380309.64560813486</v>
      </c>
      <c r="D36" s="32">
        <f>IF(A36&lt;'Loan Input Parameters'!$B$16,'Loan Input Parameters'!$B$24,IF(A36='Loan Input Parameters'!$B$16,'Loan Input Parameters'!$B$24+'Loan Input Parameters'!$B$20,0))</f>
        <v>7931.5630539595995</v>
      </c>
      <c r="E36" s="32">
        <f>C36*'Loan Input Parameters'!$B$15/12</f>
        <v>3486.1717514079028</v>
      </c>
      <c r="F36" s="32">
        <f>IF(A36&lt;='Loan Input Parameters'!$B$16,'Loan Input Parameters'!$B$23,0)</f>
        <v>69</v>
      </c>
      <c r="G36" s="32">
        <f t="shared" si="2"/>
        <v>4376.3913025516968</v>
      </c>
      <c r="H36" s="32">
        <f t="shared" si="0"/>
        <v>375933.25430558313</v>
      </c>
      <c r="I36" s="33">
        <f>H36/'Loan Input Parameters'!$B$13</f>
        <v>0.75005512548312447</v>
      </c>
    </row>
    <row r="37" spans="1:9" s="20" customFormat="1" ht="16.05" customHeight="1" thickBot="1" x14ac:dyDescent="0.35">
      <c r="A37" s="30">
        <v>34</v>
      </c>
      <c r="B37" s="34">
        <f t="shared" si="3"/>
        <v>46234</v>
      </c>
      <c r="C37" s="32">
        <f t="shared" si="1"/>
        <v>375933.25430558313</v>
      </c>
      <c r="D37" s="32">
        <f>IF(A37&lt;'Loan Input Parameters'!$B$16,'Loan Input Parameters'!$B$24,IF(A37='Loan Input Parameters'!$B$16,'Loan Input Parameters'!$B$24+'Loan Input Parameters'!$B$20,0))</f>
        <v>7931.5630539595995</v>
      </c>
      <c r="E37" s="32">
        <f>C37*'Loan Input Parameters'!$B$15/12</f>
        <v>3446.0548311345119</v>
      </c>
      <c r="F37" s="32">
        <f>IF(A37&lt;='Loan Input Parameters'!$B$16,'Loan Input Parameters'!$B$23,0)</f>
        <v>69</v>
      </c>
      <c r="G37" s="32">
        <f t="shared" si="2"/>
        <v>4416.5082228250876</v>
      </c>
      <c r="H37" s="32">
        <f t="shared" si="0"/>
        <v>371516.74608275807</v>
      </c>
      <c r="I37" s="33">
        <f>H37/'Loan Input Parameters'!$B$13</f>
        <v>0.74124338938016299</v>
      </c>
    </row>
    <row r="38" spans="1:9" s="20" customFormat="1" ht="16.05" customHeight="1" thickBot="1" x14ac:dyDescent="0.35">
      <c r="A38" s="30">
        <v>35</v>
      </c>
      <c r="B38" s="34">
        <f t="shared" si="3"/>
        <v>46265</v>
      </c>
      <c r="C38" s="32">
        <f t="shared" si="1"/>
        <v>371516.74608275807</v>
      </c>
      <c r="D38" s="32">
        <f>IF(A38&lt;'Loan Input Parameters'!$B$16,'Loan Input Parameters'!$B$24,IF(A38='Loan Input Parameters'!$B$16,'Loan Input Parameters'!$B$24+'Loan Input Parameters'!$B$20,0))</f>
        <v>7931.5630539595995</v>
      </c>
      <c r="E38" s="32">
        <f>C38*'Loan Input Parameters'!$B$15/12</f>
        <v>3405.5701724252826</v>
      </c>
      <c r="F38" s="32">
        <f>IF(A38&lt;='Loan Input Parameters'!$B$16,'Loan Input Parameters'!$B$23,0)</f>
        <v>69</v>
      </c>
      <c r="G38" s="32">
        <f t="shared" si="2"/>
        <v>4456.9928815343173</v>
      </c>
      <c r="H38" s="32">
        <f t="shared" si="0"/>
        <v>367059.75320122374</v>
      </c>
      <c r="I38" s="33">
        <f>H38/'Loan Input Parameters'!$B$13</f>
        <v>0.73235087902959106</v>
      </c>
    </row>
    <row r="39" spans="1:9" s="20" customFormat="1" ht="16.05" customHeight="1" thickBot="1" x14ac:dyDescent="0.35">
      <c r="A39" s="30">
        <v>36</v>
      </c>
      <c r="B39" s="34">
        <f t="shared" si="3"/>
        <v>46295</v>
      </c>
      <c r="C39" s="32">
        <f t="shared" si="1"/>
        <v>367059.75320122374</v>
      </c>
      <c r="D39" s="32">
        <f>IF(A39&lt;'Loan Input Parameters'!$B$16,'Loan Input Parameters'!$B$24,IF(A39='Loan Input Parameters'!$B$16,'Loan Input Parameters'!$B$24+'Loan Input Parameters'!$B$20,0))</f>
        <v>7931.5630539595995</v>
      </c>
      <c r="E39" s="32">
        <f>C39*'Loan Input Parameters'!$B$15/12</f>
        <v>3364.714404344551</v>
      </c>
      <c r="F39" s="32">
        <f>IF(A39&lt;='Loan Input Parameters'!$B$16,'Loan Input Parameters'!$B$23,0)</f>
        <v>69</v>
      </c>
      <c r="G39" s="32">
        <f t="shared" si="2"/>
        <v>4497.848649615049</v>
      </c>
      <c r="H39" s="32">
        <f t="shared" si="0"/>
        <v>362561.90455160866</v>
      </c>
      <c r="I39" s="33">
        <f>H39/'Loan Input Parameters'!$B$13</f>
        <v>0.72337685400080542</v>
      </c>
    </row>
    <row r="40" spans="1:9" s="20" customFormat="1" ht="16.05" customHeight="1" thickBot="1" x14ac:dyDescent="0.35">
      <c r="A40" s="30">
        <v>37</v>
      </c>
      <c r="B40" s="34">
        <f t="shared" si="3"/>
        <v>46326</v>
      </c>
      <c r="C40" s="32">
        <f t="shared" si="1"/>
        <v>362561.90455160866</v>
      </c>
      <c r="D40" s="32">
        <f>IF(A40&lt;'Loan Input Parameters'!$B$16,'Loan Input Parameters'!$B$24,IF(A40='Loan Input Parameters'!$B$16,'Loan Input Parameters'!$B$24+'Loan Input Parameters'!$B$20,0))</f>
        <v>7931.5630539595995</v>
      </c>
      <c r="E40" s="32">
        <f>C40*'Loan Input Parameters'!$B$15/12</f>
        <v>3323.4841250564127</v>
      </c>
      <c r="F40" s="32">
        <f>IF(A40&lt;='Loan Input Parameters'!$B$16,'Loan Input Parameters'!$B$23,0)</f>
        <v>69</v>
      </c>
      <c r="G40" s="32">
        <f t="shared" si="2"/>
        <v>4539.0789289031873</v>
      </c>
      <c r="H40" s="32">
        <f t="shared" si="0"/>
        <v>358022.82562270545</v>
      </c>
      <c r="I40" s="33">
        <f>H40/'Loan Input Parameters'!$B$13</f>
        <v>0.71432056707592251</v>
      </c>
    </row>
    <row r="41" spans="1:9" s="20" customFormat="1" ht="16.05" customHeight="1" thickBot="1" x14ac:dyDescent="0.35">
      <c r="A41" s="30">
        <v>38</v>
      </c>
      <c r="B41" s="34">
        <f t="shared" si="3"/>
        <v>46356</v>
      </c>
      <c r="C41" s="32">
        <f t="shared" si="1"/>
        <v>358022.82562270545</v>
      </c>
      <c r="D41" s="32">
        <f>IF(A41&lt;'Loan Input Parameters'!$B$16,'Loan Input Parameters'!$B$24,IF(A41='Loan Input Parameters'!$B$16,'Loan Input Parameters'!$B$24+'Loan Input Parameters'!$B$20,0))</f>
        <v>7931.5630539595995</v>
      </c>
      <c r="E41" s="32">
        <f>C41*'Loan Input Parameters'!$B$15/12</f>
        <v>3281.8759015414666</v>
      </c>
      <c r="F41" s="32">
        <f>IF(A41&lt;='Loan Input Parameters'!$B$16,'Loan Input Parameters'!$B$23,0)</f>
        <v>69</v>
      </c>
      <c r="G41" s="32">
        <f t="shared" si="2"/>
        <v>4580.6871524181333</v>
      </c>
      <c r="H41" s="32">
        <f t="shared" si="0"/>
        <v>353442.13847028732</v>
      </c>
      <c r="I41" s="33">
        <f>H41/'Loan Input Parameters'!$B$13</f>
        <v>0.70518126418756166</v>
      </c>
    </row>
    <row r="42" spans="1:9" s="20" customFormat="1" ht="16.05" customHeight="1" thickBot="1" x14ac:dyDescent="0.35">
      <c r="A42" s="30">
        <v>39</v>
      </c>
      <c r="B42" s="34">
        <f t="shared" si="3"/>
        <v>46387</v>
      </c>
      <c r="C42" s="32">
        <f t="shared" si="1"/>
        <v>353442.13847028732</v>
      </c>
      <c r="D42" s="32">
        <f>IF(A42&lt;'Loan Input Parameters'!$B$16,'Loan Input Parameters'!$B$24,IF(A42='Loan Input Parameters'!$B$16,'Loan Input Parameters'!$B$24+'Loan Input Parameters'!$B$20,0))</f>
        <v>7931.5630539595995</v>
      </c>
      <c r="E42" s="32">
        <f>C42*'Loan Input Parameters'!$B$15/12</f>
        <v>3239.8862693109672</v>
      </c>
      <c r="F42" s="32">
        <f>IF(A42&lt;='Loan Input Parameters'!$B$16,'Loan Input Parameters'!$B$23,0)</f>
        <v>69</v>
      </c>
      <c r="G42" s="32">
        <f t="shared" si="2"/>
        <v>4622.6767846486327</v>
      </c>
      <c r="H42" s="32">
        <f t="shared" si="0"/>
        <v>348819.4616856387</v>
      </c>
      <c r="I42" s="33">
        <f>H42/'Loan Input Parameters'!$B$13</f>
        <v>0.6959581843560575</v>
      </c>
    </row>
    <row r="43" spans="1:9" s="20" customFormat="1" ht="16.05" customHeight="1" thickBot="1" x14ac:dyDescent="0.35">
      <c r="A43" s="30">
        <v>40</v>
      </c>
      <c r="B43" s="34">
        <f t="shared" si="3"/>
        <v>46418</v>
      </c>
      <c r="C43" s="32">
        <f t="shared" si="1"/>
        <v>348819.4616856387</v>
      </c>
      <c r="D43" s="32">
        <f>IF(A43&lt;'Loan Input Parameters'!$B$16,'Loan Input Parameters'!$B$24,IF(A43='Loan Input Parameters'!$B$16,'Loan Input Parameters'!$B$24+'Loan Input Parameters'!$B$20,0))</f>
        <v>7931.5630539595995</v>
      </c>
      <c r="E43" s="32">
        <f>C43*'Loan Input Parameters'!$B$15/12</f>
        <v>3197.5117321183548</v>
      </c>
      <c r="F43" s="32">
        <f>IF(A43&lt;='Loan Input Parameters'!$B$16,'Loan Input Parameters'!$B$23,0)</f>
        <v>69</v>
      </c>
      <c r="G43" s="32">
        <f t="shared" si="2"/>
        <v>4665.0513218412452</v>
      </c>
      <c r="H43" s="32">
        <f t="shared" si="0"/>
        <v>344154.41036379745</v>
      </c>
      <c r="I43" s="33">
        <f>H43/'Loan Input Parameters'!$B$13</f>
        <v>0.68665055962609789</v>
      </c>
    </row>
    <row r="44" spans="1:9" s="20" customFormat="1" ht="16.05" customHeight="1" thickBot="1" x14ac:dyDescent="0.35">
      <c r="A44" s="30">
        <v>41</v>
      </c>
      <c r="B44" s="34">
        <f t="shared" si="3"/>
        <v>46446</v>
      </c>
      <c r="C44" s="32">
        <f t="shared" si="1"/>
        <v>344154.41036379745</v>
      </c>
      <c r="D44" s="32">
        <f>IF(A44&lt;'Loan Input Parameters'!$B$16,'Loan Input Parameters'!$B$24,IF(A44='Loan Input Parameters'!$B$16,'Loan Input Parameters'!$B$24+'Loan Input Parameters'!$B$20,0))</f>
        <v>7931.5630539595995</v>
      </c>
      <c r="E44" s="32">
        <f>C44*'Loan Input Parameters'!$B$15/12</f>
        <v>3154.7487616681433</v>
      </c>
      <c r="F44" s="32">
        <f>IF(A44&lt;='Loan Input Parameters'!$B$16,'Loan Input Parameters'!$B$23,0)</f>
        <v>69</v>
      </c>
      <c r="G44" s="32">
        <f t="shared" si="2"/>
        <v>4707.8142922914558</v>
      </c>
      <c r="H44" s="32">
        <f t="shared" si="0"/>
        <v>339446.59607150598</v>
      </c>
      <c r="I44" s="33">
        <f>H44/'Loan Input Parameters'!$B$13</f>
        <v>0.67725761500278026</v>
      </c>
    </row>
    <row r="45" spans="1:9" s="20" customFormat="1" ht="16.05" customHeight="1" thickBot="1" x14ac:dyDescent="0.35">
      <c r="A45" s="30">
        <v>42</v>
      </c>
      <c r="B45" s="34">
        <f t="shared" si="3"/>
        <v>46477</v>
      </c>
      <c r="C45" s="32">
        <f t="shared" si="1"/>
        <v>339446.59607150598</v>
      </c>
      <c r="D45" s="32">
        <f>IF(A45&lt;'Loan Input Parameters'!$B$16,'Loan Input Parameters'!$B$24,IF(A45='Loan Input Parameters'!$B$16,'Loan Input Parameters'!$B$24+'Loan Input Parameters'!$B$20,0))</f>
        <v>7931.5630539595995</v>
      </c>
      <c r="E45" s="32">
        <f>C45*'Loan Input Parameters'!$B$15/12</f>
        <v>3111.5937973221385</v>
      </c>
      <c r="F45" s="32">
        <f>IF(A45&lt;='Loan Input Parameters'!$B$16,'Loan Input Parameters'!$B$23,0)</f>
        <v>69</v>
      </c>
      <c r="G45" s="32">
        <f t="shared" si="2"/>
        <v>4750.9692566374615</v>
      </c>
      <c r="H45" s="32">
        <f t="shared" si="0"/>
        <v>334695.62681486853</v>
      </c>
      <c r="I45" s="33">
        <f>H45/'Loan Input Parameters'!$B$13</f>
        <v>0.66777856838708227</v>
      </c>
    </row>
    <row r="46" spans="1:9" s="20" customFormat="1" ht="16.05" customHeight="1" thickBot="1" x14ac:dyDescent="0.35">
      <c r="A46" s="30">
        <v>43</v>
      </c>
      <c r="B46" s="34">
        <f t="shared" si="3"/>
        <v>46507</v>
      </c>
      <c r="C46" s="32">
        <f t="shared" si="1"/>
        <v>334695.62681486853</v>
      </c>
      <c r="D46" s="32">
        <f>IF(A46&lt;'Loan Input Parameters'!$B$16,'Loan Input Parameters'!$B$24,IF(A46='Loan Input Parameters'!$B$16,'Loan Input Parameters'!$B$24+'Loan Input Parameters'!$B$20,0))</f>
        <v>7931.5630539595995</v>
      </c>
      <c r="E46" s="32">
        <f>C46*'Loan Input Parameters'!$B$15/12</f>
        <v>3068.0432458029613</v>
      </c>
      <c r="F46" s="32">
        <f>IF(A46&lt;='Loan Input Parameters'!$B$16,'Loan Input Parameters'!$B$23,0)</f>
        <v>69</v>
      </c>
      <c r="G46" s="32">
        <f t="shared" si="2"/>
        <v>4794.5198081566377</v>
      </c>
      <c r="H46" s="32">
        <f t="shared" si="0"/>
        <v>329901.10700671189</v>
      </c>
      <c r="I46" s="33">
        <f>H46/'Loan Input Parameters'!$B$13</f>
        <v>0.6582126305107403</v>
      </c>
    </row>
    <row r="47" spans="1:9" s="20" customFormat="1" ht="16.05" customHeight="1" thickBot="1" x14ac:dyDescent="0.35">
      <c r="A47" s="30">
        <v>44</v>
      </c>
      <c r="B47" s="34">
        <f t="shared" si="3"/>
        <v>46538</v>
      </c>
      <c r="C47" s="32">
        <f t="shared" si="1"/>
        <v>329901.10700671189</v>
      </c>
      <c r="D47" s="32">
        <f>IF(A47&lt;'Loan Input Parameters'!$B$16,'Loan Input Parameters'!$B$24,IF(A47='Loan Input Parameters'!$B$16,'Loan Input Parameters'!$B$24+'Loan Input Parameters'!$B$20,0))</f>
        <v>7931.5630539595995</v>
      </c>
      <c r="E47" s="32">
        <f>C47*'Loan Input Parameters'!$B$15/12</f>
        <v>3024.0934808948591</v>
      </c>
      <c r="F47" s="32">
        <f>IF(A47&lt;='Loan Input Parameters'!$B$16,'Loan Input Parameters'!$B$23,0)</f>
        <v>69</v>
      </c>
      <c r="G47" s="32">
        <f t="shared" si="2"/>
        <v>4838.46957306474</v>
      </c>
      <c r="H47" s="32">
        <f t="shared" si="0"/>
        <v>325062.63743364712</v>
      </c>
      <c r="I47" s="33">
        <f>H47/'Loan Input Parameters'!$B$13</f>
        <v>0.64855900487053186</v>
      </c>
    </row>
    <row r="48" spans="1:9" s="20" customFormat="1" ht="16.05" customHeight="1" thickBot="1" x14ac:dyDescent="0.35">
      <c r="A48" s="30">
        <v>45</v>
      </c>
      <c r="B48" s="34">
        <f t="shared" si="3"/>
        <v>46568</v>
      </c>
      <c r="C48" s="32">
        <f t="shared" si="1"/>
        <v>325062.63743364712</v>
      </c>
      <c r="D48" s="32">
        <f>IF(A48&lt;'Loan Input Parameters'!$B$16,'Loan Input Parameters'!$B$24,IF(A48='Loan Input Parameters'!$B$16,'Loan Input Parameters'!$B$24+'Loan Input Parameters'!$B$20,0))</f>
        <v>7931.5630539595995</v>
      </c>
      <c r="E48" s="32">
        <f>C48*'Loan Input Parameters'!$B$15/12</f>
        <v>2979.7408431417657</v>
      </c>
      <c r="F48" s="32">
        <f>IF(A48&lt;='Loan Input Parameters'!$B$16,'Loan Input Parameters'!$B$23,0)</f>
        <v>69</v>
      </c>
      <c r="G48" s="32">
        <f t="shared" si="2"/>
        <v>4882.8222108178343</v>
      </c>
      <c r="H48" s="32">
        <f t="shared" si="0"/>
        <v>320179.81522282929</v>
      </c>
      <c r="I48" s="33">
        <f>H48/'Loan Input Parameters'!$B$13</f>
        <v>0.63881688766195499</v>
      </c>
    </row>
    <row r="49" spans="1:9" s="20" customFormat="1" ht="16.05" customHeight="1" thickBot="1" x14ac:dyDescent="0.35">
      <c r="A49" s="30">
        <v>46</v>
      </c>
      <c r="B49" s="34">
        <f t="shared" si="3"/>
        <v>46599</v>
      </c>
      <c r="C49" s="32">
        <f t="shared" si="1"/>
        <v>320179.81522282929</v>
      </c>
      <c r="D49" s="32">
        <f>IF(A49&lt;'Loan Input Parameters'!$B$16,'Loan Input Parameters'!$B$24,IF(A49='Loan Input Parameters'!$B$16,'Loan Input Parameters'!$B$24+'Loan Input Parameters'!$B$20,0))</f>
        <v>7931.5630539595995</v>
      </c>
      <c r="E49" s="32">
        <f>C49*'Loan Input Parameters'!$B$15/12</f>
        <v>2934.9816395426019</v>
      </c>
      <c r="F49" s="32">
        <f>IF(A49&lt;='Loan Input Parameters'!$B$16,'Loan Input Parameters'!$B$23,0)</f>
        <v>69</v>
      </c>
      <c r="G49" s="32">
        <f t="shared" si="2"/>
        <v>4927.5814144169981</v>
      </c>
      <c r="H49" s="32">
        <f t="shared" si="0"/>
        <v>315252.23380841227</v>
      </c>
      <c r="I49" s="33">
        <f>H49/'Loan Input Parameters'!$B$13</f>
        <v>0.62898546771229935</v>
      </c>
    </row>
    <row r="50" spans="1:9" s="20" customFormat="1" ht="16.05" customHeight="1" thickBot="1" x14ac:dyDescent="0.35">
      <c r="A50" s="30">
        <v>47</v>
      </c>
      <c r="B50" s="34">
        <f t="shared" si="3"/>
        <v>46630</v>
      </c>
      <c r="C50" s="32">
        <f t="shared" si="1"/>
        <v>315252.23380841227</v>
      </c>
      <c r="D50" s="32">
        <f>IF(A50&lt;'Loan Input Parameters'!$B$16,'Loan Input Parameters'!$B$24,IF(A50='Loan Input Parameters'!$B$16,'Loan Input Parameters'!$B$24+'Loan Input Parameters'!$B$20,0))</f>
        <v>7931.5630539595995</v>
      </c>
      <c r="E50" s="32">
        <f>C50*'Loan Input Parameters'!$B$15/12</f>
        <v>2889.8121432437788</v>
      </c>
      <c r="F50" s="32">
        <f>IF(A50&lt;='Loan Input Parameters'!$B$16,'Loan Input Parameters'!$B$23,0)</f>
        <v>69</v>
      </c>
      <c r="G50" s="32">
        <f t="shared" si="2"/>
        <v>4972.7509107158203</v>
      </c>
      <c r="H50" s="32">
        <f t="shared" si="0"/>
        <v>310279.48289769643</v>
      </c>
      <c r="I50" s="33">
        <f>H50/'Loan Input Parameters'!$B$13</f>
        <v>0.61906392641310526</v>
      </c>
    </row>
    <row r="51" spans="1:9" s="20" customFormat="1" ht="16.05" customHeight="1" thickBot="1" x14ac:dyDescent="0.35">
      <c r="A51" s="30">
        <v>48</v>
      </c>
      <c r="B51" s="34">
        <f t="shared" si="3"/>
        <v>46660</v>
      </c>
      <c r="C51" s="32">
        <f t="shared" si="1"/>
        <v>310279.48289769643</v>
      </c>
      <c r="D51" s="32">
        <f>IF(A51&lt;'Loan Input Parameters'!$B$16,'Loan Input Parameters'!$B$24,IF(A51='Loan Input Parameters'!$B$16,'Loan Input Parameters'!$B$24+'Loan Input Parameters'!$B$20,0))</f>
        <v>7931.5630539595995</v>
      </c>
      <c r="E51" s="32">
        <f>C51*'Loan Input Parameters'!$B$15/12</f>
        <v>2844.2285932288837</v>
      </c>
      <c r="F51" s="32">
        <f>IF(A51&lt;='Loan Input Parameters'!$B$16,'Loan Input Parameters'!$B$23,0)</f>
        <v>69</v>
      </c>
      <c r="G51" s="32">
        <f t="shared" si="2"/>
        <v>5018.3344607307154</v>
      </c>
      <c r="H51" s="32">
        <f t="shared" si="0"/>
        <v>305261.14843696571</v>
      </c>
      <c r="I51" s="33">
        <f>H51/'Loan Input Parameters'!$B$13</f>
        <v>0.60905143765200187</v>
      </c>
    </row>
    <row r="52" spans="1:9" s="20" customFormat="1" ht="16.05" customHeight="1" thickBot="1" x14ac:dyDescent="0.35">
      <c r="A52" s="30">
        <v>49</v>
      </c>
      <c r="B52" s="34">
        <f t="shared" si="3"/>
        <v>46691</v>
      </c>
      <c r="C52" s="32">
        <f t="shared" si="1"/>
        <v>305261.14843696571</v>
      </c>
      <c r="D52" s="32">
        <f>IF(A52&lt;'Loan Input Parameters'!$B$16,'Loan Input Parameters'!$B$24,IF(A52='Loan Input Parameters'!$B$16,'Loan Input Parameters'!$B$24+'Loan Input Parameters'!$B$20,0))</f>
        <v>7931.5630539595995</v>
      </c>
      <c r="E52" s="32">
        <f>C52*'Loan Input Parameters'!$B$15/12</f>
        <v>2798.2271940055193</v>
      </c>
      <c r="F52" s="32">
        <f>IF(A52&lt;='Loan Input Parameters'!$B$16,'Loan Input Parameters'!$B$23,0)</f>
        <v>69</v>
      </c>
      <c r="G52" s="32">
        <f t="shared" si="2"/>
        <v>5064.3358599540807</v>
      </c>
      <c r="H52" s="32">
        <f t="shared" si="0"/>
        <v>300196.81257701165</v>
      </c>
      <c r="I52" s="33">
        <f>H52/'Loan Input Parameters'!$B$13</f>
        <v>0.59894716774392176</v>
      </c>
    </row>
    <row r="53" spans="1:9" s="20" customFormat="1" ht="16.05" customHeight="1" thickBot="1" x14ac:dyDescent="0.35">
      <c r="A53" s="30">
        <v>50</v>
      </c>
      <c r="B53" s="34">
        <f t="shared" si="3"/>
        <v>46721</v>
      </c>
      <c r="C53" s="32">
        <f t="shared" si="1"/>
        <v>300196.81257701165</v>
      </c>
      <c r="D53" s="32">
        <f>IF(A53&lt;'Loan Input Parameters'!$B$16,'Loan Input Parameters'!$B$24,IF(A53='Loan Input Parameters'!$B$16,'Loan Input Parameters'!$B$24+'Loan Input Parameters'!$B$20,0))</f>
        <v>7931.5630539595995</v>
      </c>
      <c r="E53" s="32">
        <f>C53*'Loan Input Parameters'!$B$15/12</f>
        <v>2751.8041152892733</v>
      </c>
      <c r="F53" s="32">
        <f>IF(A53&lt;='Loan Input Parameters'!$B$16,'Loan Input Parameters'!$B$23,0)</f>
        <v>69</v>
      </c>
      <c r="G53" s="32">
        <f t="shared" si="2"/>
        <v>5110.7589386703257</v>
      </c>
      <c r="H53" s="32">
        <f t="shared" si="0"/>
        <v>295086.05363834131</v>
      </c>
      <c r="I53" s="33">
        <f>H53/'Loan Input Parameters'!$B$13</f>
        <v>0.58875027536168412</v>
      </c>
    </row>
    <row r="54" spans="1:9" s="20" customFormat="1" ht="16.05" customHeight="1" thickBot="1" x14ac:dyDescent="0.35">
      <c r="A54" s="30">
        <v>51</v>
      </c>
      <c r="B54" s="34">
        <f t="shared" si="3"/>
        <v>46752</v>
      </c>
      <c r="C54" s="32">
        <f t="shared" si="1"/>
        <v>295086.05363834131</v>
      </c>
      <c r="D54" s="32">
        <f>IF(A54&lt;'Loan Input Parameters'!$B$16,'Loan Input Parameters'!$B$24,IF(A54='Loan Input Parameters'!$B$16,'Loan Input Parameters'!$B$24+'Loan Input Parameters'!$B$20,0))</f>
        <v>7931.5630539595995</v>
      </c>
      <c r="E54" s="32">
        <f>C54*'Loan Input Parameters'!$B$15/12</f>
        <v>2704.9554916847951</v>
      </c>
      <c r="F54" s="32">
        <f>IF(A54&lt;='Loan Input Parameters'!$B$16,'Loan Input Parameters'!$B$23,0)</f>
        <v>69</v>
      </c>
      <c r="G54" s="32">
        <f t="shared" si="2"/>
        <v>5157.6075622748049</v>
      </c>
      <c r="H54" s="32">
        <f t="shared" si="0"/>
        <v>289928.44607606652</v>
      </c>
      <c r="I54" s="33">
        <f>H54/'Loan Input Parameters'!$B$13</f>
        <v>0.57845991146594278</v>
      </c>
    </row>
    <row r="55" spans="1:9" s="20" customFormat="1" ht="16.05" customHeight="1" thickBot="1" x14ac:dyDescent="0.35">
      <c r="A55" s="30">
        <v>52</v>
      </c>
      <c r="B55" s="34">
        <f t="shared" si="3"/>
        <v>46783</v>
      </c>
      <c r="C55" s="32">
        <f t="shared" si="1"/>
        <v>289928.44607606652</v>
      </c>
      <c r="D55" s="32">
        <f>IF(A55&lt;'Loan Input Parameters'!$B$16,'Loan Input Parameters'!$B$24,IF(A55='Loan Input Parameters'!$B$16,'Loan Input Parameters'!$B$24+'Loan Input Parameters'!$B$20,0))</f>
        <v>7931.5630539595995</v>
      </c>
      <c r="E55" s="32">
        <f>C55*'Loan Input Parameters'!$B$15/12</f>
        <v>2657.6774223639432</v>
      </c>
      <c r="F55" s="32">
        <f>IF(A55&lt;='Loan Input Parameters'!$B$16,'Loan Input Parameters'!$B$23,0)</f>
        <v>69</v>
      </c>
      <c r="G55" s="32">
        <f t="shared" si="2"/>
        <v>5204.8856315956564</v>
      </c>
      <c r="H55" s="32">
        <f t="shared" si="0"/>
        <v>284723.56044447084</v>
      </c>
      <c r="I55" s="33">
        <f>H55/'Loan Input Parameters'!$B$13</f>
        <v>0.56807521923449045</v>
      </c>
    </row>
    <row r="56" spans="1:9" s="20" customFormat="1" ht="16.05" customHeight="1" thickBot="1" x14ac:dyDescent="0.35">
      <c r="A56" s="30">
        <v>53</v>
      </c>
      <c r="B56" s="34">
        <f t="shared" si="3"/>
        <v>46812</v>
      </c>
      <c r="C56" s="32">
        <f t="shared" si="1"/>
        <v>284723.56044447084</v>
      </c>
      <c r="D56" s="32">
        <f>IF(A56&lt;'Loan Input Parameters'!$B$16,'Loan Input Parameters'!$B$24,IF(A56='Loan Input Parameters'!$B$16,'Loan Input Parameters'!$B$24+'Loan Input Parameters'!$B$20,0))</f>
        <v>7931.5630539595995</v>
      </c>
      <c r="E56" s="32">
        <f>C56*'Loan Input Parameters'!$B$15/12</f>
        <v>2609.9659707409828</v>
      </c>
      <c r="F56" s="32">
        <f>IF(A56&lt;='Loan Input Parameters'!$B$16,'Loan Input Parameters'!$B$23,0)</f>
        <v>69</v>
      </c>
      <c r="G56" s="32">
        <f t="shared" si="2"/>
        <v>5252.5970832186167</v>
      </c>
      <c r="H56" s="32">
        <f t="shared" si="0"/>
        <v>279470.96336125222</v>
      </c>
      <c r="I56" s="33">
        <f>H56/'Loan Input Parameters'!$B$13</f>
        <v>0.55759533399091632</v>
      </c>
    </row>
    <row r="57" spans="1:9" s="20" customFormat="1" ht="16.05" customHeight="1" thickBot="1" x14ac:dyDescent="0.35">
      <c r="A57" s="30">
        <v>54</v>
      </c>
      <c r="B57" s="34">
        <f t="shared" si="3"/>
        <v>46843</v>
      </c>
      <c r="C57" s="32">
        <f t="shared" si="1"/>
        <v>279470.96336125222</v>
      </c>
      <c r="D57" s="32">
        <f>IF(A57&lt;'Loan Input Parameters'!$B$16,'Loan Input Parameters'!$B$24,IF(A57='Loan Input Parameters'!$B$16,'Loan Input Parameters'!$B$24+'Loan Input Parameters'!$B$20,0))</f>
        <v>7931.5630539595995</v>
      </c>
      <c r="E57" s="32">
        <f>C57*'Loan Input Parameters'!$B$15/12</f>
        <v>2561.8171641448121</v>
      </c>
      <c r="F57" s="32">
        <f>IF(A57&lt;='Loan Input Parameters'!$B$16,'Loan Input Parameters'!$B$23,0)</f>
        <v>69</v>
      </c>
      <c r="G57" s="32">
        <f t="shared" si="2"/>
        <v>5300.745889814787</v>
      </c>
      <c r="H57" s="32">
        <f t="shared" si="0"/>
        <v>274170.21747143741</v>
      </c>
      <c r="I57" s="33">
        <f>H57/'Loan Input Parameters'!$B$13</f>
        <v>0.54701938313260956</v>
      </c>
    </row>
    <row r="58" spans="1:9" s="20" customFormat="1" ht="16.05" customHeight="1" thickBot="1" x14ac:dyDescent="0.35">
      <c r="A58" s="30">
        <v>55</v>
      </c>
      <c r="B58" s="34">
        <f t="shared" si="3"/>
        <v>46873</v>
      </c>
      <c r="C58" s="32">
        <f t="shared" si="1"/>
        <v>274170.21747143741</v>
      </c>
      <c r="D58" s="32">
        <f>IF(A58&lt;'Loan Input Parameters'!$B$16,'Loan Input Parameters'!$B$24,IF(A58='Loan Input Parameters'!$B$16,'Loan Input Parameters'!$B$24+'Loan Input Parameters'!$B$20,0))</f>
        <v>7931.5630539595995</v>
      </c>
      <c r="E58" s="32">
        <f>C58*'Loan Input Parameters'!$B$15/12</f>
        <v>2513.2269934881765</v>
      </c>
      <c r="F58" s="32">
        <f>IF(A58&lt;='Loan Input Parameters'!$B$16,'Loan Input Parameters'!$B$23,0)</f>
        <v>69</v>
      </c>
      <c r="G58" s="32">
        <f t="shared" si="2"/>
        <v>5349.3360604714235</v>
      </c>
      <c r="H58" s="32">
        <f t="shared" si="0"/>
        <v>268820.88141096599</v>
      </c>
      <c r="I58" s="33">
        <f>H58/'Loan Input Parameters'!$B$13</f>
        <v>0.53634648605810165</v>
      </c>
    </row>
    <row r="59" spans="1:9" s="20" customFormat="1" ht="16.05" customHeight="1" thickBot="1" x14ac:dyDescent="0.35">
      <c r="A59" s="30">
        <v>56</v>
      </c>
      <c r="B59" s="34">
        <f t="shared" si="3"/>
        <v>46904</v>
      </c>
      <c r="C59" s="32">
        <f t="shared" si="1"/>
        <v>268820.88141096599</v>
      </c>
      <c r="D59" s="32">
        <f>IF(A59&lt;'Loan Input Parameters'!$B$16,'Loan Input Parameters'!$B$24,IF(A59='Loan Input Parameters'!$B$16,'Loan Input Parameters'!$B$24+'Loan Input Parameters'!$B$20,0))</f>
        <v>7931.5630539595995</v>
      </c>
      <c r="E59" s="32">
        <f>C59*'Loan Input Parameters'!$B$15/12</f>
        <v>2464.1914129338552</v>
      </c>
      <c r="F59" s="32">
        <f>IF(A59&lt;='Loan Input Parameters'!$B$16,'Loan Input Parameters'!$B$23,0)</f>
        <v>69</v>
      </c>
      <c r="G59" s="32">
        <f t="shared" si="2"/>
        <v>5398.3716410257439</v>
      </c>
      <c r="H59" s="32">
        <f t="shared" si="0"/>
        <v>263422.50976994022</v>
      </c>
      <c r="I59" s="33">
        <f>H59/'Loan Input Parameters'!$B$13</f>
        <v>0.52557575409374402</v>
      </c>
    </row>
    <row r="60" spans="1:9" s="20" customFormat="1" ht="16.05" customHeight="1" thickBot="1" x14ac:dyDescent="0.35">
      <c r="A60" s="30">
        <v>57</v>
      </c>
      <c r="B60" s="34">
        <f t="shared" si="3"/>
        <v>46934</v>
      </c>
      <c r="C60" s="32">
        <f t="shared" si="1"/>
        <v>263422.50976994022</v>
      </c>
      <c r="D60" s="32">
        <f>IF(A60&lt;'Loan Input Parameters'!$B$16,'Loan Input Parameters'!$B$24,IF(A60='Loan Input Parameters'!$B$16,'Loan Input Parameters'!$B$24+'Loan Input Parameters'!$B$20,0))</f>
        <v>7931.5630539595995</v>
      </c>
      <c r="E60" s="32">
        <f>C60*'Loan Input Parameters'!$B$15/12</f>
        <v>2414.7063395577857</v>
      </c>
      <c r="F60" s="32">
        <f>IF(A60&lt;='Loan Input Parameters'!$B$16,'Loan Input Parameters'!$B$23,0)</f>
        <v>69</v>
      </c>
      <c r="G60" s="32">
        <f t="shared" si="2"/>
        <v>5447.8567144018143</v>
      </c>
      <c r="H60" s="32">
        <f t="shared" si="0"/>
        <v>257974.65305553842</v>
      </c>
      <c r="I60" s="33">
        <f>H60/'Loan Input Parameters'!$B$13</f>
        <v>0.51470629041971327</v>
      </c>
    </row>
    <row r="61" spans="1:9" s="20" customFormat="1" ht="16.05" customHeight="1" thickBot="1" x14ac:dyDescent="0.35">
      <c r="A61" s="30">
        <v>58</v>
      </c>
      <c r="B61" s="34">
        <f t="shared" si="3"/>
        <v>46965</v>
      </c>
      <c r="C61" s="32">
        <f t="shared" si="1"/>
        <v>257974.65305553842</v>
      </c>
      <c r="D61" s="32">
        <f>IF(A61&lt;'Loan Input Parameters'!$B$16,'Loan Input Parameters'!$B$24,IF(A61='Loan Input Parameters'!$B$16,'Loan Input Parameters'!$B$24+'Loan Input Parameters'!$B$20,0))</f>
        <v>7931.5630539595995</v>
      </c>
      <c r="E61" s="32">
        <f>C61*'Loan Input Parameters'!$B$15/12</f>
        <v>2364.7676530091021</v>
      </c>
      <c r="F61" s="32">
        <f>IF(A61&lt;='Loan Input Parameters'!$B$16,'Loan Input Parameters'!$B$23,0)</f>
        <v>69</v>
      </c>
      <c r="G61" s="32">
        <f t="shared" si="2"/>
        <v>5497.7954009504974</v>
      </c>
      <c r="H61" s="32">
        <f t="shared" si="0"/>
        <v>252476.85765458792</v>
      </c>
      <c r="I61" s="33">
        <f>H61/'Loan Input Parameters'!$B$13</f>
        <v>0.50373718999533712</v>
      </c>
    </row>
    <row r="62" spans="1:9" s="20" customFormat="1" ht="16.05" customHeight="1" thickBot="1" x14ac:dyDescent="0.35">
      <c r="A62" s="30">
        <v>59</v>
      </c>
      <c r="B62" s="34">
        <f t="shared" si="3"/>
        <v>46996</v>
      </c>
      <c r="C62" s="32">
        <f t="shared" si="1"/>
        <v>252476.85765458792</v>
      </c>
      <c r="D62" s="32">
        <f>IF(A62&lt;'Loan Input Parameters'!$B$16,'Loan Input Parameters'!$B$24,IF(A62='Loan Input Parameters'!$B$16,'Loan Input Parameters'!$B$24+'Loan Input Parameters'!$B$20,0))</f>
        <v>7931.5630539595995</v>
      </c>
      <c r="E62" s="32">
        <f>C62*'Loan Input Parameters'!$B$15/12</f>
        <v>2314.3711951670562</v>
      </c>
      <c r="F62" s="32">
        <f>IF(A62&lt;='Loan Input Parameters'!$B$16,'Loan Input Parameters'!$B$23,0)</f>
        <v>69</v>
      </c>
      <c r="G62" s="32">
        <f t="shared" si="2"/>
        <v>5548.1918587925429</v>
      </c>
      <c r="H62" s="32">
        <f t="shared" si="0"/>
        <v>246928.66579579539</v>
      </c>
      <c r="I62" s="33">
        <f>H62/'Loan Input Parameters'!$B$13</f>
        <v>0.49266753948373754</v>
      </c>
    </row>
    <row r="63" spans="1:9" s="20" customFormat="1" ht="16.05" customHeight="1" thickBot="1" x14ac:dyDescent="0.35">
      <c r="A63" s="30">
        <v>60</v>
      </c>
      <c r="B63" s="34">
        <f t="shared" si="3"/>
        <v>47026</v>
      </c>
      <c r="C63" s="32">
        <f t="shared" si="1"/>
        <v>246928.66579579539</v>
      </c>
      <c r="D63" s="32">
        <f>IF(A63&lt;'Loan Input Parameters'!$B$16,'Loan Input Parameters'!$B$24,IF(A63='Loan Input Parameters'!$B$16,'Loan Input Parameters'!$B$24+'Loan Input Parameters'!$B$20,0))</f>
        <v>7931.5630539595995</v>
      </c>
      <c r="E63" s="32">
        <f>C63*'Loan Input Parameters'!$B$15/12</f>
        <v>2263.512769794791</v>
      </c>
      <c r="F63" s="32">
        <f>IF(A63&lt;='Loan Input Parameters'!$B$16,'Loan Input Parameters'!$B$23,0)</f>
        <v>69</v>
      </c>
      <c r="G63" s="32">
        <f t="shared" si="2"/>
        <v>5599.0502841648085</v>
      </c>
      <c r="H63" s="32">
        <f t="shared" si="0"/>
        <v>241329.61551163057</v>
      </c>
      <c r="I63" s="33">
        <f>H63/'Loan Input Parameters'!$B$13</f>
        <v>0.48149641717578162</v>
      </c>
    </row>
    <row r="64" spans="1:9" s="20" customFormat="1" ht="16.05" customHeight="1" thickBot="1" x14ac:dyDescent="0.35">
      <c r="A64" s="30">
        <v>61</v>
      </c>
      <c r="B64" s="34">
        <f t="shared" si="3"/>
        <v>47057</v>
      </c>
      <c r="C64" s="32">
        <f t="shared" si="1"/>
        <v>241329.61551163057</v>
      </c>
      <c r="D64" s="32">
        <f>IF(A64&lt;'Loan Input Parameters'!$B$16,'Loan Input Parameters'!$B$24,IF(A64='Loan Input Parameters'!$B$16,'Loan Input Parameters'!$B$24+'Loan Input Parameters'!$B$20,0))</f>
        <v>7931.5630539595995</v>
      </c>
      <c r="E64" s="32">
        <f>C64*'Loan Input Parameters'!$B$15/12</f>
        <v>2212.188142189947</v>
      </c>
      <c r="F64" s="32">
        <f>IF(A64&lt;='Loan Input Parameters'!$B$16,'Loan Input Parameters'!$B$23,0)</f>
        <v>69</v>
      </c>
      <c r="G64" s="32">
        <f t="shared" si="2"/>
        <v>5650.3749117696525</v>
      </c>
      <c r="H64" s="32">
        <f t="shared" si="0"/>
        <v>235679.24059986093</v>
      </c>
      <c r="I64" s="33">
        <f>H64/'Loan Input Parameters'!$B$13</f>
        <v>0.47022289291333613</v>
      </c>
    </row>
    <row r="65" spans="1:9" ht="16.05" customHeight="1" thickBot="1" x14ac:dyDescent="0.35">
      <c r="A65" s="30">
        <v>62</v>
      </c>
      <c r="B65" s="34">
        <f t="shared" si="3"/>
        <v>47087</v>
      </c>
      <c r="C65" s="32">
        <f t="shared" si="1"/>
        <v>235679.24059986093</v>
      </c>
      <c r="D65" s="32">
        <f>IF(A65&lt;'Loan Input Parameters'!$B$16,'Loan Input Parameters'!$B$24,IF(A65='Loan Input Parameters'!$B$16,'Loan Input Parameters'!$B$24+'Loan Input Parameters'!$B$20,0))</f>
        <v>7931.5630539595995</v>
      </c>
      <c r="E65" s="32">
        <f>C65*'Loan Input Parameters'!$B$15/12</f>
        <v>2160.3930388320587</v>
      </c>
      <c r="F65" s="32">
        <f>IF(A65&lt;='Loan Input Parameters'!$B$16,'Loan Input Parameters'!$B$23,0)</f>
        <v>69</v>
      </c>
      <c r="G65" s="32">
        <f t="shared" si="2"/>
        <v>5702.1700151275409</v>
      </c>
      <c r="H65" s="32">
        <f t="shared" si="0"/>
        <v>229977.07058473339</v>
      </c>
      <c r="I65" s="33">
        <f>H65/'Loan Input Parameters'!$B$13</f>
        <v>0.45884602801181823</v>
      </c>
    </row>
    <row r="66" spans="1:9" ht="16.05" customHeight="1" thickBot="1" x14ac:dyDescent="0.35">
      <c r="A66" s="30">
        <v>63</v>
      </c>
      <c r="B66" s="34">
        <f t="shared" si="3"/>
        <v>47118</v>
      </c>
      <c r="C66" s="32">
        <f t="shared" si="1"/>
        <v>229977.07058473339</v>
      </c>
      <c r="D66" s="32">
        <f>IF(A66&lt;'Loan Input Parameters'!$B$16,'Loan Input Parameters'!$B$24,IF(A66='Loan Input Parameters'!$B$16,'Loan Input Parameters'!$B$24+'Loan Input Parameters'!$B$20,0))</f>
        <v>7931.5630539595995</v>
      </c>
      <c r="E66" s="32">
        <f>C66*'Loan Input Parameters'!$B$15/12</f>
        <v>2108.1231470267226</v>
      </c>
      <c r="F66" s="32">
        <f>IF(A66&lt;='Loan Input Parameters'!$B$16,'Loan Input Parameters'!$B$23,0)</f>
        <v>69</v>
      </c>
      <c r="G66" s="32">
        <f t="shared" si="2"/>
        <v>5754.4399069328774</v>
      </c>
      <c r="H66" s="32">
        <f t="shared" si="0"/>
        <v>224222.63067780051</v>
      </c>
      <c r="I66" s="33">
        <f>H66/'Loan Input Parameters'!$B$13</f>
        <v>0.44736487518203638</v>
      </c>
    </row>
    <row r="67" spans="1:9" ht="16.05" customHeight="1" thickBot="1" x14ac:dyDescent="0.35">
      <c r="A67" s="30">
        <v>64</v>
      </c>
      <c r="B67" s="34">
        <f t="shared" si="3"/>
        <v>47149</v>
      </c>
      <c r="C67" s="32">
        <f t="shared" si="1"/>
        <v>224222.63067780051</v>
      </c>
      <c r="D67" s="32">
        <f>IF(A67&lt;'Loan Input Parameters'!$B$16,'Loan Input Parameters'!$B$24,IF(A67='Loan Input Parameters'!$B$16,'Loan Input Parameters'!$B$24+'Loan Input Parameters'!$B$20,0))</f>
        <v>7931.5630539595995</v>
      </c>
      <c r="E67" s="32">
        <f>C67*'Loan Input Parameters'!$B$15/12</f>
        <v>2055.3741145465046</v>
      </c>
      <c r="F67" s="32">
        <f>IF(A67&lt;='Loan Input Parameters'!$B$16,'Loan Input Parameters'!$B$23,0)</f>
        <v>69</v>
      </c>
      <c r="G67" s="32">
        <f t="shared" si="2"/>
        <v>5807.1889394130949</v>
      </c>
      <c r="H67" s="32">
        <f t="shared" si="0"/>
        <v>218415.44173838742</v>
      </c>
      <c r="I67" s="33">
        <f>H67/'Loan Input Parameters'!$B$13</f>
        <v>0.4357784784513149</v>
      </c>
    </row>
    <row r="68" spans="1:9" ht="16.05" customHeight="1" thickBot="1" x14ac:dyDescent="0.35">
      <c r="A68" s="30">
        <v>65</v>
      </c>
      <c r="B68" s="34">
        <f t="shared" si="3"/>
        <v>47177</v>
      </c>
      <c r="C68" s="32">
        <f t="shared" si="1"/>
        <v>218415.44173838742</v>
      </c>
      <c r="D68" s="32">
        <f>IF(A68&lt;'Loan Input Parameters'!$B$16,'Loan Input Parameters'!$B$24,IF(A68='Loan Input Parameters'!$B$16,'Loan Input Parameters'!$B$24+'Loan Input Parameters'!$B$20,0))</f>
        <v>7931.5630539595995</v>
      </c>
      <c r="E68" s="32">
        <f>C68*'Loan Input Parameters'!$B$15/12</f>
        <v>2002.1415492685512</v>
      </c>
      <c r="F68" s="32">
        <f>IF(A68&lt;='Loan Input Parameters'!$B$16,'Loan Input Parameters'!$B$23,0)</f>
        <v>69</v>
      </c>
      <c r="G68" s="32">
        <f t="shared" si="2"/>
        <v>5860.4215046910485</v>
      </c>
      <c r="H68" s="32">
        <f t="shared" ref="H68:H75" si="4">C68-G68</f>
        <v>212555.02023369638</v>
      </c>
      <c r="I68" s="33">
        <f>H68/'Loan Input Parameters'!$B$13</f>
        <v>0.42408587308389517</v>
      </c>
    </row>
    <row r="69" spans="1:9" ht="16.05" customHeight="1" thickBot="1" x14ac:dyDescent="0.35">
      <c r="A69" s="30">
        <v>66</v>
      </c>
      <c r="B69" s="34">
        <f t="shared" si="3"/>
        <v>47208</v>
      </c>
      <c r="C69" s="32">
        <f t="shared" ref="C69:C75" si="5">IF(ROUND(H68,0)&gt;0,H68,0)</f>
        <v>212555.02023369638</v>
      </c>
      <c r="D69" s="32">
        <f>IF(A69&lt;'Loan Input Parameters'!$B$16,'Loan Input Parameters'!$B$24,IF(A69='Loan Input Parameters'!$B$16,'Loan Input Parameters'!$B$24+'Loan Input Parameters'!$B$20,0))</f>
        <v>7931.5630539595995</v>
      </c>
      <c r="E69" s="32">
        <f>C69*'Loan Input Parameters'!$B$15/12</f>
        <v>1948.4210188088837</v>
      </c>
      <c r="F69" s="32">
        <f>IF(A69&lt;='Loan Input Parameters'!$B$16,'Loan Input Parameters'!$B$23,0)</f>
        <v>69</v>
      </c>
      <c r="G69" s="32">
        <f t="shared" ref="G69:G75" si="6">D69-E69-F69</f>
        <v>5914.1420351507159</v>
      </c>
      <c r="H69" s="32">
        <f t="shared" si="4"/>
        <v>206640.87819854566</v>
      </c>
      <c r="I69" s="33">
        <f>H69/'Loan Input Parameters'!$B$13</f>
        <v>0.41228608550060736</v>
      </c>
    </row>
    <row r="70" spans="1:9" ht="16.05" customHeight="1" thickBot="1" x14ac:dyDescent="0.35">
      <c r="A70" s="30">
        <v>67</v>
      </c>
      <c r="B70" s="34">
        <f t="shared" ref="B70:B86" si="7">EOMONTH(B69,1)</f>
        <v>47238</v>
      </c>
      <c r="C70" s="32">
        <f t="shared" si="5"/>
        <v>206640.87819854566</v>
      </c>
      <c r="D70" s="32">
        <f>IF(A70&lt;'Loan Input Parameters'!$B$16,'Loan Input Parameters'!$B$24,IF(A70='Loan Input Parameters'!$B$16,'Loan Input Parameters'!$B$24+'Loan Input Parameters'!$B$20,0))</f>
        <v>7931.5630539595995</v>
      </c>
      <c r="E70" s="32">
        <f>C70*'Loan Input Parameters'!$B$15/12</f>
        <v>1894.2080501533353</v>
      </c>
      <c r="F70" s="32">
        <f>IF(A70&lt;='Loan Input Parameters'!$B$16,'Loan Input Parameters'!$B$23,0)</f>
        <v>69</v>
      </c>
      <c r="G70" s="32">
        <f t="shared" si="6"/>
        <v>5968.355003806264</v>
      </c>
      <c r="H70" s="32">
        <f t="shared" si="4"/>
        <v>200672.52319473939</v>
      </c>
      <c r="I70" s="33">
        <f>H70/'Loan Input Parameters'!$B$13</f>
        <v>0.40037813319780607</v>
      </c>
    </row>
    <row r="71" spans="1:9" ht="16.05" customHeight="1" thickBot="1" x14ac:dyDescent="0.35">
      <c r="A71" s="30">
        <v>68</v>
      </c>
      <c r="B71" s="34">
        <f t="shared" si="7"/>
        <v>47269</v>
      </c>
      <c r="C71" s="32">
        <f t="shared" si="5"/>
        <v>200672.52319473939</v>
      </c>
      <c r="D71" s="32">
        <f>IF(A71&lt;'Loan Input Parameters'!$B$16,'Loan Input Parameters'!$B$24,IF(A71='Loan Input Parameters'!$B$16,'Loan Input Parameters'!$B$24+'Loan Input Parameters'!$B$20,0))</f>
        <v>7931.5630539595995</v>
      </c>
      <c r="E71" s="32">
        <f>C71*'Loan Input Parameters'!$B$15/12</f>
        <v>1839.498129285111</v>
      </c>
      <c r="F71" s="32">
        <f>IF(A71&lt;='Loan Input Parameters'!$B$16,'Loan Input Parameters'!$B$23,0)</f>
        <v>69</v>
      </c>
      <c r="G71" s="32">
        <f t="shared" si="6"/>
        <v>6023.0649246744888</v>
      </c>
      <c r="H71" s="32">
        <f t="shared" si="4"/>
        <v>194649.4582700649</v>
      </c>
      <c r="I71" s="33">
        <f>H71/'Loan Input Parameters'!$B$13</f>
        <v>0.38836102466556249</v>
      </c>
    </row>
    <row r="72" spans="1:9" ht="16.05" customHeight="1" thickBot="1" x14ac:dyDescent="0.35">
      <c r="A72" s="30">
        <v>69</v>
      </c>
      <c r="B72" s="34">
        <f t="shared" si="7"/>
        <v>47299</v>
      </c>
      <c r="C72" s="32">
        <f>IF(ROUND(H71,0)&gt;0,H71,0)</f>
        <v>194649.4582700649</v>
      </c>
      <c r="D72" s="32">
        <f>IF(A72&lt;'Loan Input Parameters'!$B$16,'Loan Input Parameters'!$B$24,IF(A72='Loan Input Parameters'!$B$16,'Loan Input Parameters'!$B$24+'Loan Input Parameters'!$B$20,0))</f>
        <v>7931.5630539595995</v>
      </c>
      <c r="E72" s="32">
        <f>C72*'Loan Input Parameters'!$B$15/12</f>
        <v>1784.2867008089281</v>
      </c>
      <c r="F72" s="32">
        <f>IF(A72&lt;='Loan Input Parameters'!$B$16,'Loan Input Parameters'!$B$23,0)</f>
        <v>69</v>
      </c>
      <c r="G72" s="32">
        <f t="shared" si="6"/>
        <v>6078.2763531506716</v>
      </c>
      <c r="H72" s="32">
        <f t="shared" si="4"/>
        <v>188571.18191691424</v>
      </c>
      <c r="I72" s="33">
        <f>H72/'Loan Input Parameters'!$B$13</f>
        <v>0.37623375930510666</v>
      </c>
    </row>
    <row r="73" spans="1:9" ht="16.05" customHeight="1" thickBot="1" x14ac:dyDescent="0.35">
      <c r="A73" s="30">
        <v>70</v>
      </c>
      <c r="B73" s="34">
        <f t="shared" si="7"/>
        <v>47330</v>
      </c>
      <c r="C73" s="32">
        <f t="shared" si="5"/>
        <v>188571.18191691424</v>
      </c>
      <c r="D73" s="32">
        <f>IF(A73&lt;'Loan Input Parameters'!$B$16,'Loan Input Parameters'!$B$24,IF(A73='Loan Input Parameters'!$B$16,'Loan Input Parameters'!$B$24+'Loan Input Parameters'!$B$20,0))</f>
        <v>7931.5630539595995</v>
      </c>
      <c r="E73" s="32">
        <f>C73*'Loan Input Parameters'!$B$15/12</f>
        <v>1728.5691675717137</v>
      </c>
      <c r="F73" s="32">
        <f>IF(A73&lt;='Loan Input Parameters'!$B$16,'Loan Input Parameters'!$B$23,0)</f>
        <v>69</v>
      </c>
      <c r="G73" s="32">
        <f t="shared" si="6"/>
        <v>6133.9938863878861</v>
      </c>
      <c r="H73" s="32">
        <f t="shared" si="4"/>
        <v>182437.18803052636</v>
      </c>
      <c r="I73" s="33">
        <f>H73/'Loan Input Parameters'!$B$13</f>
        <v>0.36399532734551332</v>
      </c>
    </row>
    <row r="74" spans="1:9" ht="16.05" customHeight="1" thickBot="1" x14ac:dyDescent="0.35">
      <c r="A74" s="30">
        <v>71</v>
      </c>
      <c r="B74" s="34">
        <f t="shared" si="7"/>
        <v>47361</v>
      </c>
      <c r="C74" s="32">
        <f t="shared" si="5"/>
        <v>182437.18803052636</v>
      </c>
      <c r="D74" s="32">
        <f>IF(A74&lt;'Loan Input Parameters'!$B$16,'Loan Input Parameters'!$B$24,IF(A74='Loan Input Parameters'!$B$16,'Loan Input Parameters'!$B$24+'Loan Input Parameters'!$B$20,0))</f>
        <v>7931.5630539595995</v>
      </c>
      <c r="E74" s="32">
        <f>C74*'Loan Input Parameters'!$B$15/12</f>
        <v>1672.3408902798249</v>
      </c>
      <c r="F74" s="32">
        <f>IF(A74&lt;='Loan Input Parameters'!$B$16,'Loan Input Parameters'!$B$23,0)</f>
        <v>69</v>
      </c>
      <c r="G74" s="32">
        <f t="shared" si="6"/>
        <v>6190.2221636797749</v>
      </c>
      <c r="H74" s="32">
        <f t="shared" si="4"/>
        <v>176246.96586684659</v>
      </c>
      <c r="I74" s="33">
        <f>H74/'Loan Input Parameters'!$B$13</f>
        <v>0.3516447097596237</v>
      </c>
    </row>
    <row r="75" spans="1:9" ht="16.05" customHeight="1" thickBot="1" x14ac:dyDescent="0.35">
      <c r="A75" s="30">
        <v>72</v>
      </c>
      <c r="B75" s="34">
        <f t="shared" si="7"/>
        <v>47391</v>
      </c>
      <c r="C75" s="32">
        <f t="shared" si="5"/>
        <v>176246.96586684659</v>
      </c>
      <c r="D75" s="32">
        <f>IF(A75&lt;'Loan Input Parameters'!$B$16,'Loan Input Parameters'!$B$24,IF(A75='Loan Input Parameters'!$B$16,'Loan Input Parameters'!$B$24+'Loan Input Parameters'!$B$20,0))</f>
        <v>177931.5630539596</v>
      </c>
      <c r="E75" s="32">
        <f>C75*'Loan Input Parameters'!$B$15/12</f>
        <v>1615.5971871127604</v>
      </c>
      <c r="F75" s="32">
        <f>IF(A75&lt;='Loan Input Parameters'!$B$16,'Loan Input Parameters'!$B$23,0)</f>
        <v>69</v>
      </c>
      <c r="G75" s="32">
        <f t="shared" si="6"/>
        <v>176246.96586684685</v>
      </c>
      <c r="H75" s="32">
        <f t="shared" si="4"/>
        <v>-2.6193447411060333E-10</v>
      </c>
      <c r="I75" s="33">
        <f>H75/'Loan Input Parameters'!$B$13</f>
        <v>-5.2260685267200382E-16</v>
      </c>
    </row>
    <row r="76" spans="1:9" ht="16.05" customHeight="1" thickBot="1" x14ac:dyDescent="0.35">
      <c r="A76" s="30">
        <v>73</v>
      </c>
      <c r="B76" s="34">
        <f t="shared" si="7"/>
        <v>47422</v>
      </c>
      <c r="C76" s="32">
        <f t="shared" ref="C76:C99" si="8">IF(ROUND(H75,0)&gt;0,H75,0)</f>
        <v>0</v>
      </c>
      <c r="D76" s="32">
        <f>IF(A76&lt;'Loan Input Parameters'!$B$16,'Loan Input Parameters'!$B$24,IF(A76='Loan Input Parameters'!$B$16,'Loan Input Parameters'!$B$24+'Loan Input Parameters'!$B$20,0))</f>
        <v>0</v>
      </c>
      <c r="E76" s="32">
        <f>C76*'Loan Input Parameters'!$B$15/12</f>
        <v>0</v>
      </c>
      <c r="F76" s="32">
        <f>IF(A76&lt;='Loan Input Parameters'!$B$16,'Loan Input Parameters'!$B$23,0)</f>
        <v>0</v>
      </c>
      <c r="G76" s="32">
        <f t="shared" ref="G76:G99" si="9">D76-E76-F76</f>
        <v>0</v>
      </c>
      <c r="H76" s="32">
        <f t="shared" ref="H76:H99" si="10">C76-G76</f>
        <v>0</v>
      </c>
      <c r="I76" s="33">
        <f>H76/'Loan Input Parameters'!$B$13</f>
        <v>0</v>
      </c>
    </row>
    <row r="77" spans="1:9" ht="16.05" customHeight="1" thickBot="1" x14ac:dyDescent="0.35">
      <c r="A77" s="30">
        <v>74</v>
      </c>
      <c r="B77" s="34">
        <f t="shared" si="7"/>
        <v>47452</v>
      </c>
      <c r="C77" s="32">
        <f t="shared" si="8"/>
        <v>0</v>
      </c>
      <c r="D77" s="32">
        <f>IF(A77&lt;'Loan Input Parameters'!$B$16,'Loan Input Parameters'!$B$24,IF(A77='Loan Input Parameters'!$B$16,'Loan Input Parameters'!$B$24+'Loan Input Parameters'!$B$20,0))</f>
        <v>0</v>
      </c>
      <c r="E77" s="32">
        <f>C77*'Loan Input Parameters'!$B$15/12</f>
        <v>0</v>
      </c>
      <c r="F77" s="32">
        <f>IF(A77&lt;='Loan Input Parameters'!$B$16,'Loan Input Parameters'!$B$23,0)</f>
        <v>0</v>
      </c>
      <c r="G77" s="32">
        <f t="shared" si="9"/>
        <v>0</v>
      </c>
      <c r="H77" s="32">
        <f t="shared" si="10"/>
        <v>0</v>
      </c>
      <c r="I77" s="33">
        <f>H77/'Loan Input Parameters'!$B$13</f>
        <v>0</v>
      </c>
    </row>
    <row r="78" spans="1:9" ht="16.05" customHeight="1" thickBot="1" x14ac:dyDescent="0.35">
      <c r="A78" s="30">
        <v>75</v>
      </c>
      <c r="B78" s="34">
        <f t="shared" si="7"/>
        <v>47483</v>
      </c>
      <c r="C78" s="32">
        <f t="shared" si="8"/>
        <v>0</v>
      </c>
      <c r="D78" s="32">
        <f>IF(A78&lt;'Loan Input Parameters'!$B$16,'Loan Input Parameters'!$B$24,IF(A78='Loan Input Parameters'!$B$16,'Loan Input Parameters'!$B$24+'Loan Input Parameters'!$B$20,0))</f>
        <v>0</v>
      </c>
      <c r="E78" s="32">
        <f>C78*'Loan Input Parameters'!$B$15/12</f>
        <v>0</v>
      </c>
      <c r="F78" s="32">
        <f>IF(A78&lt;='Loan Input Parameters'!$B$16,'Loan Input Parameters'!$B$23,0)</f>
        <v>0</v>
      </c>
      <c r="G78" s="32">
        <f t="shared" si="9"/>
        <v>0</v>
      </c>
      <c r="H78" s="32">
        <f t="shared" si="10"/>
        <v>0</v>
      </c>
      <c r="I78" s="33">
        <f>H78/'Loan Input Parameters'!$B$13</f>
        <v>0</v>
      </c>
    </row>
    <row r="79" spans="1:9" ht="16.05" customHeight="1" thickBot="1" x14ac:dyDescent="0.35">
      <c r="A79" s="30">
        <v>76</v>
      </c>
      <c r="B79" s="34">
        <f t="shared" si="7"/>
        <v>47514</v>
      </c>
      <c r="C79" s="32">
        <f t="shared" si="8"/>
        <v>0</v>
      </c>
      <c r="D79" s="32">
        <f>IF(A79&lt;'Loan Input Parameters'!$B$16,'Loan Input Parameters'!$B$24,IF(A79='Loan Input Parameters'!$B$16,'Loan Input Parameters'!$B$24+'Loan Input Parameters'!$B$20,0))</f>
        <v>0</v>
      </c>
      <c r="E79" s="32">
        <f>C79*'Loan Input Parameters'!$B$15/12</f>
        <v>0</v>
      </c>
      <c r="F79" s="32">
        <f>IF(A79&lt;='Loan Input Parameters'!$B$16,'Loan Input Parameters'!$B$23,0)</f>
        <v>0</v>
      </c>
      <c r="G79" s="32">
        <f t="shared" si="9"/>
        <v>0</v>
      </c>
      <c r="H79" s="32">
        <f t="shared" si="10"/>
        <v>0</v>
      </c>
      <c r="I79" s="33">
        <f>H79/'Loan Input Parameters'!$B$13</f>
        <v>0</v>
      </c>
    </row>
    <row r="80" spans="1:9" ht="16.05" customHeight="1" thickBot="1" x14ac:dyDescent="0.35">
      <c r="A80" s="30">
        <v>77</v>
      </c>
      <c r="B80" s="34">
        <f t="shared" si="7"/>
        <v>47542</v>
      </c>
      <c r="C80" s="32">
        <f t="shared" si="8"/>
        <v>0</v>
      </c>
      <c r="D80" s="32">
        <f>IF(A80&lt;'Loan Input Parameters'!$B$16,'Loan Input Parameters'!$B$24,IF(A80='Loan Input Parameters'!$B$16,'Loan Input Parameters'!$B$24+'Loan Input Parameters'!$B$20,0))</f>
        <v>0</v>
      </c>
      <c r="E80" s="32">
        <f>C80*'Loan Input Parameters'!$B$15/12</f>
        <v>0</v>
      </c>
      <c r="F80" s="32">
        <f>IF(A80&lt;='Loan Input Parameters'!$B$16,'Loan Input Parameters'!$B$23,0)</f>
        <v>0</v>
      </c>
      <c r="G80" s="32">
        <f t="shared" si="9"/>
        <v>0</v>
      </c>
      <c r="H80" s="32">
        <f t="shared" si="10"/>
        <v>0</v>
      </c>
      <c r="I80" s="33">
        <f>H80/'Loan Input Parameters'!$B$13</f>
        <v>0</v>
      </c>
    </row>
    <row r="81" spans="1:9" ht="16.05" customHeight="1" thickBot="1" x14ac:dyDescent="0.35">
      <c r="A81" s="30">
        <v>78</v>
      </c>
      <c r="B81" s="34">
        <f t="shared" si="7"/>
        <v>47573</v>
      </c>
      <c r="C81" s="32">
        <f t="shared" si="8"/>
        <v>0</v>
      </c>
      <c r="D81" s="32">
        <f>IF(A81&lt;'Loan Input Parameters'!$B$16,'Loan Input Parameters'!$B$24,IF(A81='Loan Input Parameters'!$B$16,'Loan Input Parameters'!$B$24+'Loan Input Parameters'!$B$20,0))</f>
        <v>0</v>
      </c>
      <c r="E81" s="32">
        <f>C81*'Loan Input Parameters'!$B$15/12</f>
        <v>0</v>
      </c>
      <c r="F81" s="32">
        <f>IF(A81&lt;='Loan Input Parameters'!$B$16,'Loan Input Parameters'!$B$23,0)</f>
        <v>0</v>
      </c>
      <c r="G81" s="32">
        <f t="shared" si="9"/>
        <v>0</v>
      </c>
      <c r="H81" s="32">
        <f t="shared" si="10"/>
        <v>0</v>
      </c>
      <c r="I81" s="33">
        <f>H81/'Loan Input Parameters'!$B$13</f>
        <v>0</v>
      </c>
    </row>
    <row r="82" spans="1:9" ht="16.05" customHeight="1" thickBot="1" x14ac:dyDescent="0.35">
      <c r="A82" s="30">
        <v>79</v>
      </c>
      <c r="B82" s="34">
        <f t="shared" si="7"/>
        <v>47603</v>
      </c>
      <c r="C82" s="32">
        <f t="shared" si="8"/>
        <v>0</v>
      </c>
      <c r="D82" s="32">
        <f>IF(A82&lt;'Loan Input Parameters'!$B$16,'Loan Input Parameters'!$B$24,IF(A82='Loan Input Parameters'!$B$16,'Loan Input Parameters'!$B$24+'Loan Input Parameters'!$B$20,0))</f>
        <v>0</v>
      </c>
      <c r="E82" s="32">
        <f>C82*'Loan Input Parameters'!$B$15/12</f>
        <v>0</v>
      </c>
      <c r="F82" s="32">
        <f>IF(A82&lt;='Loan Input Parameters'!$B$16,'Loan Input Parameters'!$B$23,0)</f>
        <v>0</v>
      </c>
      <c r="G82" s="32">
        <f t="shared" si="9"/>
        <v>0</v>
      </c>
      <c r="H82" s="32">
        <f t="shared" si="10"/>
        <v>0</v>
      </c>
      <c r="I82" s="33">
        <f>H82/'Loan Input Parameters'!$B$13</f>
        <v>0</v>
      </c>
    </row>
    <row r="83" spans="1:9" ht="16.05" customHeight="1" thickBot="1" x14ac:dyDescent="0.35">
      <c r="A83" s="30">
        <v>80</v>
      </c>
      <c r="B83" s="34">
        <f t="shared" si="7"/>
        <v>47634</v>
      </c>
      <c r="C83" s="32">
        <f t="shared" si="8"/>
        <v>0</v>
      </c>
      <c r="D83" s="32">
        <f>IF(A83&lt;'Loan Input Parameters'!$B$16,'Loan Input Parameters'!$B$24,IF(A83='Loan Input Parameters'!$B$16,'Loan Input Parameters'!$B$24+'Loan Input Parameters'!$B$20,0))</f>
        <v>0</v>
      </c>
      <c r="E83" s="32">
        <f>C83*'Loan Input Parameters'!$B$15/12</f>
        <v>0</v>
      </c>
      <c r="F83" s="32">
        <f>IF(A83&lt;='Loan Input Parameters'!$B$16,'Loan Input Parameters'!$B$23,0)</f>
        <v>0</v>
      </c>
      <c r="G83" s="32">
        <f t="shared" si="9"/>
        <v>0</v>
      </c>
      <c r="H83" s="32">
        <f t="shared" si="10"/>
        <v>0</v>
      </c>
      <c r="I83" s="33">
        <f>H83/'Loan Input Parameters'!$B$13</f>
        <v>0</v>
      </c>
    </row>
    <row r="84" spans="1:9" ht="16.05" customHeight="1" thickBot="1" x14ac:dyDescent="0.35">
      <c r="A84" s="30">
        <v>81</v>
      </c>
      <c r="B84" s="34">
        <f t="shared" si="7"/>
        <v>47664</v>
      </c>
      <c r="C84" s="32">
        <f t="shared" si="8"/>
        <v>0</v>
      </c>
      <c r="D84" s="32">
        <f>IF(A84&lt;'Loan Input Parameters'!$B$16,'Loan Input Parameters'!$B$24,IF(A84='Loan Input Parameters'!$B$16,'Loan Input Parameters'!$B$24+'Loan Input Parameters'!$B$20,0))</f>
        <v>0</v>
      </c>
      <c r="E84" s="32">
        <f>C84*'Loan Input Parameters'!$B$15/12</f>
        <v>0</v>
      </c>
      <c r="F84" s="32">
        <f>IF(A84&lt;='Loan Input Parameters'!$B$16,'Loan Input Parameters'!$B$23,0)</f>
        <v>0</v>
      </c>
      <c r="G84" s="32">
        <f t="shared" si="9"/>
        <v>0</v>
      </c>
      <c r="H84" s="32">
        <f t="shared" si="10"/>
        <v>0</v>
      </c>
      <c r="I84" s="33">
        <f>H84/'Loan Input Parameters'!$B$13</f>
        <v>0</v>
      </c>
    </row>
    <row r="85" spans="1:9" ht="16.05" customHeight="1" thickBot="1" x14ac:dyDescent="0.35">
      <c r="A85" s="30">
        <v>82</v>
      </c>
      <c r="B85" s="34">
        <f t="shared" si="7"/>
        <v>47695</v>
      </c>
      <c r="C85" s="32">
        <f t="shared" si="8"/>
        <v>0</v>
      </c>
      <c r="D85" s="32">
        <f>IF(A85&lt;'Loan Input Parameters'!$B$16,'Loan Input Parameters'!$B$24,IF(A85='Loan Input Parameters'!$B$16,'Loan Input Parameters'!$B$24+'Loan Input Parameters'!$B$20,0))</f>
        <v>0</v>
      </c>
      <c r="E85" s="32">
        <f>C85*'Loan Input Parameters'!$B$15/12</f>
        <v>0</v>
      </c>
      <c r="F85" s="32">
        <f>IF(A85&lt;='Loan Input Parameters'!$B$16,'Loan Input Parameters'!$B$23,0)</f>
        <v>0</v>
      </c>
      <c r="G85" s="32">
        <f t="shared" si="9"/>
        <v>0</v>
      </c>
      <c r="H85" s="32">
        <f t="shared" si="10"/>
        <v>0</v>
      </c>
      <c r="I85" s="33">
        <f>H85/'Loan Input Parameters'!$B$13</f>
        <v>0</v>
      </c>
    </row>
    <row r="86" spans="1:9" ht="16.05" customHeight="1" thickBot="1" x14ac:dyDescent="0.35">
      <c r="A86" s="30">
        <v>83</v>
      </c>
      <c r="B86" s="34">
        <f t="shared" si="7"/>
        <v>47726</v>
      </c>
      <c r="C86" s="32">
        <f t="shared" si="8"/>
        <v>0</v>
      </c>
      <c r="D86" s="32">
        <f>IF(A86&lt;'Loan Input Parameters'!$B$16,'Loan Input Parameters'!$B$24,IF(A86='Loan Input Parameters'!$B$16,'Loan Input Parameters'!$B$24+'Loan Input Parameters'!$B$20,0))</f>
        <v>0</v>
      </c>
      <c r="E86" s="32">
        <f>C86*'Loan Input Parameters'!$B$15/12</f>
        <v>0</v>
      </c>
      <c r="F86" s="32">
        <f>IF(A86&lt;='Loan Input Parameters'!$B$16,'Loan Input Parameters'!$B$23,0)</f>
        <v>0</v>
      </c>
      <c r="G86" s="32">
        <f t="shared" si="9"/>
        <v>0</v>
      </c>
      <c r="H86" s="32">
        <f t="shared" si="10"/>
        <v>0</v>
      </c>
      <c r="I86" s="33">
        <f>H86/'Loan Input Parameters'!$B$13</f>
        <v>0</v>
      </c>
    </row>
    <row r="87" spans="1:9" ht="16.05" customHeight="1" thickBot="1" x14ac:dyDescent="0.35">
      <c r="A87" s="30">
        <v>84</v>
      </c>
      <c r="B87" s="34">
        <f>EOMONTH(B86,1)</f>
        <v>47756</v>
      </c>
      <c r="C87" s="32">
        <f t="shared" si="8"/>
        <v>0</v>
      </c>
      <c r="D87" s="32">
        <f>IF(A87&lt;'Loan Input Parameters'!$B$16,'Loan Input Parameters'!$B$24,IF(A87='Loan Input Parameters'!$B$16,'Loan Input Parameters'!$B$24+'Loan Input Parameters'!$B$20,0))</f>
        <v>0</v>
      </c>
      <c r="E87" s="32">
        <f>C87*'Loan Input Parameters'!$B$15/12</f>
        <v>0</v>
      </c>
      <c r="F87" s="32">
        <f>IF(A87&lt;='Loan Input Parameters'!$B$16,'Loan Input Parameters'!$B$23,0)</f>
        <v>0</v>
      </c>
      <c r="G87" s="32">
        <f t="shared" si="9"/>
        <v>0</v>
      </c>
      <c r="H87" s="32">
        <f t="shared" si="10"/>
        <v>0</v>
      </c>
      <c r="I87" s="33">
        <f>H87/'Loan Input Parameters'!$B$13</f>
        <v>0</v>
      </c>
    </row>
    <row r="88" spans="1:9" ht="16.05" customHeight="1" thickBot="1" x14ac:dyDescent="0.35">
      <c r="A88" s="30">
        <v>85</v>
      </c>
      <c r="B88" s="34">
        <f>EOMONTH(B87,1)</f>
        <v>47787</v>
      </c>
      <c r="C88" s="32">
        <f t="shared" si="8"/>
        <v>0</v>
      </c>
      <c r="D88" s="32">
        <f>IF(A88&lt;'Loan Input Parameters'!$B$16,'Loan Input Parameters'!$B$24,IF(A88='Loan Input Parameters'!$B$16,'Loan Input Parameters'!$B$24+'Loan Input Parameters'!$B$20,0))</f>
        <v>0</v>
      </c>
      <c r="E88" s="32">
        <f>C88*'Loan Input Parameters'!$B$15/12</f>
        <v>0</v>
      </c>
      <c r="F88" s="32">
        <f>IF(A88&lt;='Loan Input Parameters'!$B$16,'Loan Input Parameters'!$B$23,0)</f>
        <v>0</v>
      </c>
      <c r="G88" s="32">
        <f t="shared" si="9"/>
        <v>0</v>
      </c>
      <c r="H88" s="32">
        <f t="shared" si="10"/>
        <v>0</v>
      </c>
      <c r="I88" s="33">
        <f>H88/'Loan Input Parameters'!$B$13</f>
        <v>0</v>
      </c>
    </row>
    <row r="89" spans="1:9" ht="16.05" customHeight="1" thickBot="1" x14ac:dyDescent="0.35">
      <c r="A89" s="30">
        <v>86</v>
      </c>
      <c r="B89" s="34">
        <f t="shared" ref="B89:B99" si="11">EOMONTH(B88,1)</f>
        <v>47817</v>
      </c>
      <c r="C89" s="32">
        <f t="shared" si="8"/>
        <v>0</v>
      </c>
      <c r="D89" s="32">
        <f>IF(A89&lt;'Loan Input Parameters'!$B$16,'Loan Input Parameters'!$B$24,IF(A89='Loan Input Parameters'!$B$16,'Loan Input Parameters'!$B$24+'Loan Input Parameters'!$B$20,0))</f>
        <v>0</v>
      </c>
      <c r="E89" s="32">
        <f>C89*'Loan Input Parameters'!$B$15/12</f>
        <v>0</v>
      </c>
      <c r="F89" s="32">
        <f>IF(A89&lt;='Loan Input Parameters'!$B$16,'Loan Input Parameters'!$B$23,0)</f>
        <v>0</v>
      </c>
      <c r="G89" s="32">
        <f t="shared" si="9"/>
        <v>0</v>
      </c>
      <c r="H89" s="32">
        <f t="shared" si="10"/>
        <v>0</v>
      </c>
      <c r="I89" s="33">
        <f>H89/'Loan Input Parameters'!$B$13</f>
        <v>0</v>
      </c>
    </row>
    <row r="90" spans="1:9" ht="16.05" customHeight="1" thickBot="1" x14ac:dyDescent="0.35">
      <c r="A90" s="30">
        <v>87</v>
      </c>
      <c r="B90" s="34">
        <f t="shared" si="11"/>
        <v>47848</v>
      </c>
      <c r="C90" s="32">
        <f t="shared" si="8"/>
        <v>0</v>
      </c>
      <c r="D90" s="32">
        <f>IF(A90&lt;'Loan Input Parameters'!$B$16,'Loan Input Parameters'!$B$24,IF(A90='Loan Input Parameters'!$B$16,'Loan Input Parameters'!$B$24+'Loan Input Parameters'!$B$20,0))</f>
        <v>0</v>
      </c>
      <c r="E90" s="32">
        <f>C90*'Loan Input Parameters'!$B$15/12</f>
        <v>0</v>
      </c>
      <c r="F90" s="32">
        <f>IF(A90&lt;='Loan Input Parameters'!$B$16,'Loan Input Parameters'!$B$23,0)</f>
        <v>0</v>
      </c>
      <c r="G90" s="32">
        <f t="shared" si="9"/>
        <v>0</v>
      </c>
      <c r="H90" s="32">
        <f t="shared" si="10"/>
        <v>0</v>
      </c>
      <c r="I90" s="33">
        <f>H90/'Loan Input Parameters'!$B$13</f>
        <v>0</v>
      </c>
    </row>
    <row r="91" spans="1:9" ht="16.05" customHeight="1" thickBot="1" x14ac:dyDescent="0.35">
      <c r="A91" s="30">
        <v>88</v>
      </c>
      <c r="B91" s="34">
        <f t="shared" si="11"/>
        <v>47879</v>
      </c>
      <c r="C91" s="32">
        <f t="shared" si="8"/>
        <v>0</v>
      </c>
      <c r="D91" s="32">
        <f>IF(A91&lt;'Loan Input Parameters'!$B$16,'Loan Input Parameters'!$B$24,IF(A91='Loan Input Parameters'!$B$16,'Loan Input Parameters'!$B$24+'Loan Input Parameters'!$B$20,0))</f>
        <v>0</v>
      </c>
      <c r="E91" s="32">
        <f>C91*'Loan Input Parameters'!$B$15/12</f>
        <v>0</v>
      </c>
      <c r="F91" s="32">
        <f>IF(A91&lt;='Loan Input Parameters'!$B$16,'Loan Input Parameters'!$B$23,0)</f>
        <v>0</v>
      </c>
      <c r="G91" s="32">
        <f t="shared" si="9"/>
        <v>0</v>
      </c>
      <c r="H91" s="32">
        <f t="shared" si="10"/>
        <v>0</v>
      </c>
      <c r="I91" s="33">
        <f>H91/'Loan Input Parameters'!$B$13</f>
        <v>0</v>
      </c>
    </row>
    <row r="92" spans="1:9" ht="16.05" customHeight="1" thickBot="1" x14ac:dyDescent="0.35">
      <c r="A92" s="30">
        <v>89</v>
      </c>
      <c r="B92" s="34">
        <f t="shared" si="11"/>
        <v>47907</v>
      </c>
      <c r="C92" s="32">
        <f t="shared" si="8"/>
        <v>0</v>
      </c>
      <c r="D92" s="32">
        <f>IF(A92&lt;'Loan Input Parameters'!$B$16,'Loan Input Parameters'!$B$24,IF(A92='Loan Input Parameters'!$B$16,'Loan Input Parameters'!$B$24+'Loan Input Parameters'!$B$20,0))</f>
        <v>0</v>
      </c>
      <c r="E92" s="32">
        <f>C92*'Loan Input Parameters'!$B$15/12</f>
        <v>0</v>
      </c>
      <c r="F92" s="32">
        <f>IF(A92&lt;='Loan Input Parameters'!$B$16,'Loan Input Parameters'!$B$23,0)</f>
        <v>0</v>
      </c>
      <c r="G92" s="32">
        <f t="shared" si="9"/>
        <v>0</v>
      </c>
      <c r="H92" s="32">
        <f t="shared" si="10"/>
        <v>0</v>
      </c>
      <c r="I92" s="33">
        <f>H92/'Loan Input Parameters'!$B$13</f>
        <v>0</v>
      </c>
    </row>
    <row r="93" spans="1:9" ht="16.05" customHeight="1" thickBot="1" x14ac:dyDescent="0.35">
      <c r="A93" s="30">
        <v>90</v>
      </c>
      <c r="B93" s="34">
        <f t="shared" si="11"/>
        <v>47938</v>
      </c>
      <c r="C93" s="32">
        <f t="shared" si="8"/>
        <v>0</v>
      </c>
      <c r="D93" s="32">
        <f>IF(A93&lt;'Loan Input Parameters'!$B$16,'Loan Input Parameters'!$B$24,IF(A93='Loan Input Parameters'!$B$16,'Loan Input Parameters'!$B$24+'Loan Input Parameters'!$B$20,0))</f>
        <v>0</v>
      </c>
      <c r="E93" s="32">
        <f>C93*'Loan Input Parameters'!$B$15/12</f>
        <v>0</v>
      </c>
      <c r="F93" s="32">
        <f>IF(A93&lt;='Loan Input Parameters'!$B$16,'Loan Input Parameters'!$B$23,0)</f>
        <v>0</v>
      </c>
      <c r="G93" s="32">
        <f t="shared" si="9"/>
        <v>0</v>
      </c>
      <c r="H93" s="32">
        <f t="shared" si="10"/>
        <v>0</v>
      </c>
      <c r="I93" s="33">
        <f>H93/'Loan Input Parameters'!$B$13</f>
        <v>0</v>
      </c>
    </row>
    <row r="94" spans="1:9" ht="16.05" customHeight="1" thickBot="1" x14ac:dyDescent="0.35">
      <c r="A94" s="30">
        <v>91</v>
      </c>
      <c r="B94" s="34">
        <f t="shared" si="11"/>
        <v>47968</v>
      </c>
      <c r="C94" s="32">
        <f t="shared" si="8"/>
        <v>0</v>
      </c>
      <c r="D94" s="32">
        <f>IF(A94&lt;'Loan Input Parameters'!$B$16,'Loan Input Parameters'!$B$24,IF(A94='Loan Input Parameters'!$B$16,'Loan Input Parameters'!$B$24+'Loan Input Parameters'!$B$20,0))</f>
        <v>0</v>
      </c>
      <c r="E94" s="32">
        <f>C94*'Loan Input Parameters'!$B$15/12</f>
        <v>0</v>
      </c>
      <c r="F94" s="32">
        <f>IF(A94&lt;='Loan Input Parameters'!$B$16,'Loan Input Parameters'!$B$23,0)</f>
        <v>0</v>
      </c>
      <c r="G94" s="32">
        <f t="shared" si="9"/>
        <v>0</v>
      </c>
      <c r="H94" s="32">
        <f t="shared" si="10"/>
        <v>0</v>
      </c>
      <c r="I94" s="33">
        <f>H94/'Loan Input Parameters'!$B$13</f>
        <v>0</v>
      </c>
    </row>
    <row r="95" spans="1:9" ht="16.05" customHeight="1" thickBot="1" x14ac:dyDescent="0.35">
      <c r="A95" s="30">
        <v>92</v>
      </c>
      <c r="B95" s="34">
        <f t="shared" si="11"/>
        <v>47999</v>
      </c>
      <c r="C95" s="32">
        <f t="shared" si="8"/>
        <v>0</v>
      </c>
      <c r="D95" s="32">
        <f>IF(A95&lt;'Loan Input Parameters'!$B$16,'Loan Input Parameters'!$B$24,IF(A95='Loan Input Parameters'!$B$16,'Loan Input Parameters'!$B$24+'Loan Input Parameters'!$B$20,0))</f>
        <v>0</v>
      </c>
      <c r="E95" s="32">
        <f>C95*'Loan Input Parameters'!$B$15/12</f>
        <v>0</v>
      </c>
      <c r="F95" s="32">
        <f>IF(A95&lt;='Loan Input Parameters'!$B$16,'Loan Input Parameters'!$B$23,0)</f>
        <v>0</v>
      </c>
      <c r="G95" s="32">
        <f t="shared" si="9"/>
        <v>0</v>
      </c>
      <c r="H95" s="32">
        <f t="shared" si="10"/>
        <v>0</v>
      </c>
      <c r="I95" s="33">
        <f>H95/'Loan Input Parameters'!$B$13</f>
        <v>0</v>
      </c>
    </row>
    <row r="96" spans="1:9" ht="16.05" customHeight="1" thickBot="1" x14ac:dyDescent="0.35">
      <c r="A96" s="30">
        <v>93</v>
      </c>
      <c r="B96" s="34">
        <f t="shared" si="11"/>
        <v>48029</v>
      </c>
      <c r="C96" s="32">
        <f t="shared" si="8"/>
        <v>0</v>
      </c>
      <c r="D96" s="32">
        <f>IF(A96&lt;'Loan Input Parameters'!$B$16,'Loan Input Parameters'!$B$24,IF(A96='Loan Input Parameters'!$B$16,'Loan Input Parameters'!$B$24+'Loan Input Parameters'!$B$20,0))</f>
        <v>0</v>
      </c>
      <c r="E96" s="32">
        <f>C96*'Loan Input Parameters'!$B$15/12</f>
        <v>0</v>
      </c>
      <c r="F96" s="32">
        <f>IF(A96&lt;='Loan Input Parameters'!$B$16,'Loan Input Parameters'!$B$23,0)</f>
        <v>0</v>
      </c>
      <c r="G96" s="32">
        <f t="shared" si="9"/>
        <v>0</v>
      </c>
      <c r="H96" s="32">
        <f t="shared" si="10"/>
        <v>0</v>
      </c>
      <c r="I96" s="33">
        <f>H96/'Loan Input Parameters'!$B$13</f>
        <v>0</v>
      </c>
    </row>
    <row r="97" spans="1:9" ht="16.05" customHeight="1" thickBot="1" x14ac:dyDescent="0.35">
      <c r="A97" s="30">
        <v>94</v>
      </c>
      <c r="B97" s="34">
        <f t="shared" si="11"/>
        <v>48060</v>
      </c>
      <c r="C97" s="32">
        <f t="shared" si="8"/>
        <v>0</v>
      </c>
      <c r="D97" s="32">
        <f>IF(A97&lt;'Loan Input Parameters'!$B$16,'Loan Input Parameters'!$B$24,IF(A97='Loan Input Parameters'!$B$16,'Loan Input Parameters'!$B$24+'Loan Input Parameters'!$B$20,0))</f>
        <v>0</v>
      </c>
      <c r="E97" s="32">
        <f>C97*'Loan Input Parameters'!$B$15/12</f>
        <v>0</v>
      </c>
      <c r="F97" s="32">
        <f>IF(A97&lt;='Loan Input Parameters'!$B$16,'Loan Input Parameters'!$B$23,0)</f>
        <v>0</v>
      </c>
      <c r="G97" s="32">
        <f t="shared" si="9"/>
        <v>0</v>
      </c>
      <c r="H97" s="32">
        <f t="shared" si="10"/>
        <v>0</v>
      </c>
      <c r="I97" s="33">
        <f>H97/'Loan Input Parameters'!$B$13</f>
        <v>0</v>
      </c>
    </row>
    <row r="98" spans="1:9" ht="16.05" customHeight="1" thickBot="1" x14ac:dyDescent="0.35">
      <c r="A98" s="30">
        <v>95</v>
      </c>
      <c r="B98" s="34">
        <f t="shared" si="11"/>
        <v>48091</v>
      </c>
      <c r="C98" s="32">
        <f t="shared" si="8"/>
        <v>0</v>
      </c>
      <c r="D98" s="32">
        <f>IF(A98&lt;'Loan Input Parameters'!$B$16,'Loan Input Parameters'!$B$24,IF(A98='Loan Input Parameters'!$B$16,'Loan Input Parameters'!$B$24+'Loan Input Parameters'!$B$20,0))</f>
        <v>0</v>
      </c>
      <c r="E98" s="32">
        <f>C98*'Loan Input Parameters'!$B$15/12</f>
        <v>0</v>
      </c>
      <c r="F98" s="32">
        <f>IF(A98&lt;='Loan Input Parameters'!$B$16,'Loan Input Parameters'!$B$23,0)</f>
        <v>0</v>
      </c>
      <c r="G98" s="32">
        <f t="shared" si="9"/>
        <v>0</v>
      </c>
      <c r="H98" s="32">
        <f t="shared" si="10"/>
        <v>0</v>
      </c>
      <c r="I98" s="33">
        <f>H98/'Loan Input Parameters'!$B$13</f>
        <v>0</v>
      </c>
    </row>
    <row r="99" spans="1:9" ht="16.05" customHeight="1" thickBot="1" x14ac:dyDescent="0.35">
      <c r="A99" s="30">
        <v>96</v>
      </c>
      <c r="B99" s="34">
        <f t="shared" si="11"/>
        <v>48121</v>
      </c>
      <c r="C99" s="32">
        <f t="shared" si="8"/>
        <v>0</v>
      </c>
      <c r="D99" s="32">
        <f>IF(A99&lt;'Loan Input Parameters'!$B$16,'Loan Input Parameters'!$B$24,IF(A99='Loan Input Parameters'!$B$16,'Loan Input Parameters'!$B$24+'Loan Input Parameters'!$B$20,0))</f>
        <v>0</v>
      </c>
      <c r="E99" s="32">
        <f>C99*'Loan Input Parameters'!$B$15/12</f>
        <v>0</v>
      </c>
      <c r="F99" s="32">
        <f>IF(A99&lt;='Loan Input Parameters'!$B$16,'Loan Input Parameters'!$B$23,0)</f>
        <v>0</v>
      </c>
      <c r="G99" s="32">
        <f t="shared" si="9"/>
        <v>0</v>
      </c>
      <c r="H99" s="32">
        <f t="shared" si="10"/>
        <v>0</v>
      </c>
      <c r="I99" s="33">
        <f>H99/'Loan Input Parameters'!$B$13</f>
        <v>0</v>
      </c>
    </row>
  </sheetData>
  <mergeCells count="1">
    <mergeCell ref="A1:I1"/>
  </mergeCells>
  <pageMargins left="0.75" right="0.75" top="1" bottom="1" header="0.5" footer="0.5"/>
  <pageSetup paperSize="9" scale="57" fitToHeight="0" orientation="portrait" r:id="rId1"/>
  <headerFooter alignWithMargins="0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  <pageSetUpPr fitToPage="1"/>
  </sheetPr>
  <dimension ref="A1:H17"/>
  <sheetViews>
    <sheetView workbookViewId="0">
      <selection activeCell="C1" sqref="C1"/>
    </sheetView>
  </sheetViews>
  <sheetFormatPr defaultColWidth="8.77734375" defaultRowHeight="13.8" x14ac:dyDescent="0.3"/>
  <cols>
    <col min="1" max="1" width="21.5546875" style="36" customWidth="1"/>
    <col min="2" max="2" width="12.88671875" style="36" customWidth="1"/>
    <col min="3" max="16384" width="8.77734375" style="36"/>
  </cols>
  <sheetData>
    <row r="1" spans="1:8" ht="15.6" x14ac:dyDescent="0.3">
      <c r="A1" s="97" t="s">
        <v>16</v>
      </c>
      <c r="B1" s="97"/>
      <c r="C1" s="17"/>
      <c r="D1" s="17"/>
      <c r="E1" s="17"/>
      <c r="F1" s="17"/>
      <c r="G1" s="17"/>
      <c r="H1" s="17"/>
    </row>
    <row r="3" spans="1:8" x14ac:dyDescent="0.3">
      <c r="A3" s="37" t="s">
        <v>21</v>
      </c>
    </row>
    <row r="4" spans="1:8" x14ac:dyDescent="0.3">
      <c r="A4" s="38"/>
    </row>
    <row r="5" spans="1:8" x14ac:dyDescent="0.3">
      <c r="A5" s="36" t="s">
        <v>20</v>
      </c>
      <c r="B5" s="39">
        <f>SUM('Loan Payment Schedule'!G4:G75)</f>
        <v>501207.50000000012</v>
      </c>
    </row>
    <row r="6" spans="1:8" ht="14.4" thickBot="1" x14ac:dyDescent="0.35">
      <c r="A6" s="36" t="s">
        <v>19</v>
      </c>
      <c r="B6" s="39">
        <f>SUM('Loan Payment Schedule'!E4:E75)</f>
        <v>234897.03988509107</v>
      </c>
    </row>
    <row r="7" spans="1:8" ht="15" thickTop="1" thickBot="1" x14ac:dyDescent="0.35">
      <c r="A7" s="40" t="s">
        <v>18</v>
      </c>
      <c r="B7" s="41">
        <f>SUM('Loan Payment Schedule'!D4:D75)</f>
        <v>741072.53988509055</v>
      </c>
    </row>
    <row r="8" spans="1:8" ht="14.4" thickTop="1" x14ac:dyDescent="0.3"/>
    <row r="9" spans="1:8" x14ac:dyDescent="0.3">
      <c r="A9" s="37" t="s">
        <v>22</v>
      </c>
    </row>
    <row r="10" spans="1:8" ht="14.4" thickBot="1" x14ac:dyDescent="0.35">
      <c r="A10" s="38"/>
    </row>
    <row r="11" spans="1:8" ht="14.4" thickBot="1" x14ac:dyDescent="0.35">
      <c r="A11" s="6" t="s">
        <v>17</v>
      </c>
      <c r="B11" s="14">
        <v>36</v>
      </c>
    </row>
    <row r="13" spans="1:8" x14ac:dyDescent="0.3">
      <c r="A13" s="36" t="s">
        <v>20</v>
      </c>
      <c r="B13" s="39">
        <f>SUMIF('Loan Payment Schedule'!$A$4:$A$75,"&lt;="&amp;$B$11,'Loan Payment Schedule'!$G$4:$G$75)</f>
        <v>138645.59544839122</v>
      </c>
    </row>
    <row r="14" spans="1:8" ht="14.4" thickBot="1" x14ac:dyDescent="0.35">
      <c r="A14" s="36" t="s">
        <v>19</v>
      </c>
      <c r="B14" s="39">
        <f>SUMIF('Loan Payment Schedule'!$A$4:$A$75,"&lt;="&amp;$B$11,'Loan Payment Schedule'!$E$4:$E$75)</f>
        <v>144406.67449415431</v>
      </c>
    </row>
    <row r="15" spans="1:8" ht="15" thickTop="1" thickBot="1" x14ac:dyDescent="0.35">
      <c r="A15" s="40" t="s">
        <v>18</v>
      </c>
      <c r="B15" s="41">
        <f>SUMIF('Loan Payment Schedule'!$A$4:$A$75,"&lt;="&amp;$B$11,'Loan Payment Schedule'!$D$4:$D$75)</f>
        <v>285536.26994254556</v>
      </c>
    </row>
    <row r="16" spans="1:8" ht="15" thickTop="1" thickBot="1" x14ac:dyDescent="0.35"/>
    <row r="17" spans="1:2" ht="14.4" thickBot="1" x14ac:dyDescent="0.35">
      <c r="A17" s="42" t="s">
        <v>23</v>
      </c>
      <c r="B17" s="43">
        <f>VLOOKUP(B11,'Loan Payment Schedule'!$A$4:$H$75,8,0)</f>
        <v>362561.90455160866</v>
      </c>
    </row>
  </sheetData>
  <sheetProtection algorithmName="SHA-512" hashValue="yEs1xsQuCp/gpn1P+xCuAUlKzqHEC92Xpi9zTBntA82Lt7JMMoIBsanF5d15XDpsFANXGvr4GF0Ah2gYzn4GwQ==" saltValue="ePK2UA6Y9Q2+lC8rNFT0bQ==" spinCount="100000" sheet="1" objects="1" formatCells="0" formatColumns="0" formatRows="0" insertColumns="0" insertRows="0" insertHyperlinks="0" deleteColumns="0" deleteRows="0" sort="0" autoFilter="0" pivotTables="0"/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9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FEA5-268D-4972-B2B2-B406A9276F58}">
  <sheetPr codeName="Sheet5">
    <tabColor rgb="FF002060"/>
    <pageSetUpPr fitToPage="1"/>
  </sheetPr>
  <dimension ref="A1:P99"/>
  <sheetViews>
    <sheetView zoomScale="85" zoomScaleNormal="85" workbookViewId="0">
      <pane ySplit="3" topLeftCell="A4" activePane="bottomLeft" state="frozen"/>
      <selection activeCell="A9" sqref="A5:B9"/>
      <selection pane="bottomLeft" sqref="A1:N1"/>
    </sheetView>
  </sheetViews>
  <sheetFormatPr defaultRowHeight="13.2" x14ac:dyDescent="0.25"/>
  <cols>
    <col min="1" max="1" width="9.33203125" style="58" customWidth="1"/>
    <col min="2" max="2" width="9.77734375" customWidth="1"/>
    <col min="3" max="4" width="13.44140625" customWidth="1"/>
    <col min="5" max="5" width="11.33203125" customWidth="1"/>
    <col min="6" max="6" width="12.6640625" customWidth="1"/>
    <col min="7" max="7" width="11.33203125" customWidth="1"/>
    <col min="8" max="8" width="14.5546875" customWidth="1"/>
    <col min="9" max="10" width="13.44140625" customWidth="1"/>
    <col min="11" max="13" width="13.88671875" customWidth="1"/>
    <col min="14" max="14" width="13.6640625" customWidth="1"/>
    <col min="15" max="16" width="13.88671875" customWidth="1"/>
  </cols>
  <sheetData>
    <row r="1" spans="1:16" ht="32.4" customHeight="1" thickBot="1" x14ac:dyDescent="0.3">
      <c r="A1" s="99" t="s">
        <v>33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6" ht="32.4" hidden="1" customHeight="1" thickBot="1" x14ac:dyDescent="0.35">
      <c r="A2" s="57"/>
      <c r="B2" s="22"/>
      <c r="C2" s="21"/>
      <c r="D2" s="23"/>
      <c r="E2" s="20"/>
      <c r="F2" s="20"/>
      <c r="G2" s="20"/>
      <c r="H2" s="20"/>
      <c r="I2" s="24"/>
      <c r="J2" s="24"/>
    </row>
    <row r="3" spans="1:16" ht="55.8" thickBot="1" x14ac:dyDescent="0.3">
      <c r="A3" s="74" t="s">
        <v>11</v>
      </c>
      <c r="B3" s="26" t="s">
        <v>10</v>
      </c>
      <c r="C3" s="27" t="s">
        <v>13</v>
      </c>
      <c r="D3" s="27" t="s">
        <v>12</v>
      </c>
      <c r="E3" s="27" t="s">
        <v>14</v>
      </c>
      <c r="F3" s="27" t="s">
        <v>29</v>
      </c>
      <c r="G3" s="27" t="s">
        <v>84</v>
      </c>
      <c r="H3" s="27" t="s">
        <v>24</v>
      </c>
      <c r="I3" s="44" t="s">
        <v>25</v>
      </c>
      <c r="J3" s="44" t="s">
        <v>44</v>
      </c>
      <c r="K3" s="27" t="s">
        <v>34</v>
      </c>
      <c r="L3" s="27" t="s">
        <v>45</v>
      </c>
      <c r="M3" s="27" t="s">
        <v>46</v>
      </c>
      <c r="N3" s="27" t="s">
        <v>114</v>
      </c>
      <c r="O3" s="27" t="s">
        <v>52</v>
      </c>
      <c r="P3" s="27" t="s">
        <v>115</v>
      </c>
    </row>
    <row r="4" spans="1:16" ht="14.4" thickBot="1" x14ac:dyDescent="0.35">
      <c r="A4" s="75">
        <f>IFERROR(IF(1&lt;='Loan Input Parameters'!$B$16,1,"-"),0)</f>
        <v>1</v>
      </c>
      <c r="B4" s="31">
        <f>EOMONTH('Loan Input Parameters'!B26,0)</f>
        <v>45230</v>
      </c>
      <c r="C4" s="32">
        <f>'Loan Input Parameters'!B13</f>
        <v>501207.5</v>
      </c>
      <c r="D4" s="32">
        <f>IF(A4&lt;'Loan Input Parameters'!$B$16,'Loan Input Parameters'!$B$24,IF(A4='Loan Input Parameters'!$B$16,'Loan Input Parameters'!$B$24+'Loan Input Parameters'!$B$20,0))</f>
        <v>7931.5630539595995</v>
      </c>
      <c r="E4" s="32">
        <f>IF('Loan Input Parameters'!$B$17="Advance",0,C4*'Loan Input Parameters'!$B$15/12)</f>
        <v>4594.4020833333334</v>
      </c>
      <c r="F4" s="32">
        <f>IF(A4&lt;='Loan Input Parameters'!$B$16,'Loan Input Parameters'!$B$23,0)</f>
        <v>69</v>
      </c>
      <c r="G4" s="32">
        <f>IF($A4&lt;'Loan Input Parameters'!$B$16,D4-E4-F4,"0.00")</f>
        <v>3268.1609706262661</v>
      </c>
      <c r="H4" s="32">
        <f>C4-G4</f>
        <v>497939.33902937372</v>
      </c>
      <c r="I4" s="45">
        <f>H4/'Loan Input Parameters'!$B$13</f>
        <v>0.99347942524677646</v>
      </c>
      <c r="J4" s="45">
        <f>IF('Loan Input Parameters'!$B$32="Overide",'Loan Input Parameters'!$C$34,'Loan Input Parameters'!$B$34)</f>
        <v>0.23</v>
      </c>
      <c r="K4" s="76">
        <f>_xlfn.LET(_xlpm.DEPRECIATION,IF('Loan Input Parameters'!$B$6="Used",0.08,0.05),
IF(
MONTH($B4)=1,
'Depreciation Parameters'!$B$3*(1-(35%*J4)+_xlpm.DEPRECIATION),'Depreciation Parameters'!$B$3*(1-_xlpm.DEPRECIATION)))</f>
        <v>475000</v>
      </c>
      <c r="L4" s="76">
        <f>IF(K4*'Loan Input Parameters'!$B$41&lt;'Loan Input Parameters'!$B$42,'Loan Input Parameters'!$B$42,K4*'Loan Input Parameters'!$B$41)</f>
        <v>0</v>
      </c>
      <c r="M4" s="76">
        <f>K4-L4</f>
        <v>475000</v>
      </c>
      <c r="N4" s="77">
        <f>H4-(K4-L4)</f>
        <v>22939.339029373717</v>
      </c>
      <c r="O4" s="76">
        <f>IF('Loan Input Parameters'!$B$8*3%&lt;=4000,4000,IF('Loan Input Parameters'!$B$8*3%&gt;=18000,18000,'Loan Input Parameters'!$B$8*3%))</f>
        <v>15000</v>
      </c>
      <c r="P4" s="76">
        <f>IF(N4&lt;0,O4,N4+O4)</f>
        <v>37939.339029373717</v>
      </c>
    </row>
    <row r="5" spans="1:16" ht="14.4" thickBot="1" x14ac:dyDescent="0.35">
      <c r="A5" s="75">
        <f>A4+1</f>
        <v>2</v>
      </c>
      <c r="B5" s="34">
        <f>EOMONTH(B4,1)</f>
        <v>45260</v>
      </c>
      <c r="C5" s="32">
        <f>IF(ROUND(H4,0)&gt;0,H4,0)</f>
        <v>497939.33902937372</v>
      </c>
      <c r="D5" s="32">
        <f>IF(A5&lt;'Loan Input Parameters'!$B$16,'Loan Input Parameters'!$B$24,IF(A5='Loan Input Parameters'!$B$16,'Loan Input Parameters'!$B$24+'Loan Input Parameters'!$B$20,0))</f>
        <v>7931.5630539595995</v>
      </c>
      <c r="E5" s="32">
        <f>IF($A5&lt;'Loan Input Parameters'!$B$16,C5*'Loan Input Parameters'!$B$15/12,"0.00")</f>
        <v>4564.4439411025924</v>
      </c>
      <c r="F5" s="32">
        <f>IF(A5&lt;='Loan Input Parameters'!$B$16,'Loan Input Parameters'!$B$23,0)</f>
        <v>69</v>
      </c>
      <c r="G5" s="32">
        <f>IF($A5&lt;'Loan Input Parameters'!$B$16,D5-E5-F5,"0.00")</f>
        <v>3298.1191128570072</v>
      </c>
      <c r="H5" s="32">
        <f>IF($A5&lt;'Loan Input Parameters'!$B$16,C5-G5,"0.00")</f>
        <v>494641.21991651668</v>
      </c>
      <c r="I5" s="45">
        <f>H5/'Loan Input Parameters'!$B$13</f>
        <v>0.98689907855831505</v>
      </c>
      <c r="J5" s="45">
        <f>J4</f>
        <v>0.23</v>
      </c>
      <c r="K5" s="76" cm="1">
        <f t="array" ref="K5">IF(
AND(MONTH($B5)=1,SUMPRODUCT(--(MONTH($B$4:B5)=1))=1),
K4*(1-22%*J5),
IF(
AND(MONTH($B5)=1,SUMPRODUCT(--(MONTH($B$4:B5)=1))=2),
K4*(1-20%*J5),
IF($A5&lt;13,K4*(1-(J5*4%)),
IF($A5&lt;25,K4*(1-(J5*5%)),K4*(1-J5/12)
)
)
))</f>
        <v>470630</v>
      </c>
      <c r="L5" s="76">
        <f>IF(K5*'Loan Input Parameters'!$B$41&lt;'Loan Input Parameters'!$B$42,'Loan Input Parameters'!$B$42,K5*'Loan Input Parameters'!$B$41)</f>
        <v>0</v>
      </c>
      <c r="M5" s="76">
        <f t="shared" ref="M5:M63" si="0">K5-L5</f>
        <v>470630</v>
      </c>
      <c r="N5" s="77">
        <f>H5-(K5-L5)</f>
        <v>24011.219916516682</v>
      </c>
      <c r="O5" s="76">
        <f>IF('Loan Input Parameters'!$B$8*3%&lt;=4000,4000,IF('Loan Input Parameters'!$B$8*3%&gt;=18000,18000,'Loan Input Parameters'!$B$8*3%))</f>
        <v>15000</v>
      </c>
      <c r="P5" s="76">
        <f t="shared" ref="P5:P68" si="1">IF(N5&lt;0,O5,N5+O5)</f>
        <v>39011.219916516682</v>
      </c>
    </row>
    <row r="6" spans="1:16" ht="14.4" thickBot="1" x14ac:dyDescent="0.35">
      <c r="A6" s="75">
        <f t="shared" ref="A6:A69" si="2">A5+1</f>
        <v>3</v>
      </c>
      <c r="B6" s="34">
        <f t="shared" ref="B6:B69" si="3">EOMONTH(B5,1)</f>
        <v>45291</v>
      </c>
      <c r="C6" s="32">
        <f t="shared" ref="C6:C68" si="4">IF(ROUND(H5,0)&gt;0,H5,0)</f>
        <v>494641.21991651668</v>
      </c>
      <c r="D6" s="32">
        <f>IF(A6&lt;'Loan Input Parameters'!$B$16,'Loan Input Parameters'!$B$24,IF(A6='Loan Input Parameters'!$B$16,'Loan Input Parameters'!$B$24+'Loan Input Parameters'!$B$20,0))</f>
        <v>7931.5630539595995</v>
      </c>
      <c r="E6" s="32">
        <f>IF($A6&lt;'Loan Input Parameters'!$B$16,C6*'Loan Input Parameters'!$B$15/12,"0.00")</f>
        <v>4534.2111825680695</v>
      </c>
      <c r="F6" s="32">
        <f>IF(A6&lt;='Loan Input Parameters'!$B$16,'Loan Input Parameters'!$B$23,0)</f>
        <v>69</v>
      </c>
      <c r="G6" s="32">
        <f>IF($A6&lt;'Loan Input Parameters'!$B$16,D6-E6-F6,"0.00")</f>
        <v>3328.35187139153</v>
      </c>
      <c r="H6" s="32">
        <f>IF($A6&lt;'Loan Input Parameters'!$B$16,C6-G6,"0.00")</f>
        <v>491312.86804512516</v>
      </c>
      <c r="I6" s="45">
        <f>H6/'Loan Input Parameters'!$B$13</f>
        <v>0.98025841202520947</v>
      </c>
      <c r="J6" s="45">
        <f t="shared" ref="J6:J15" si="5">J5</f>
        <v>0.23</v>
      </c>
      <c r="K6" s="76" cm="1">
        <f t="array" ref="K6">IF(
AND(MONTH($B6)=1,SUMPRODUCT(--(MONTH($B$4:B6)=1))=1),
K5*(1-22%*J6),
IF(
AND(MONTH($B6)=1,SUMPRODUCT(--(MONTH($B$4:B6)=1))=2),
K5*(1-20%*J6),
IF($A6&lt;13,K5*(1-(J6*4%)),
IF($A6&lt;25,K5*(1-(J6*5%)),K5*(1-J6/12)
)
)
))</f>
        <v>466300.20400000003</v>
      </c>
      <c r="L6" s="76">
        <f>IF(K6*'Loan Input Parameters'!$B$41&lt;'Loan Input Parameters'!$B$42,'Loan Input Parameters'!$B$42,K6*'Loan Input Parameters'!$B$41)</f>
        <v>0</v>
      </c>
      <c r="M6" s="76">
        <f t="shared" si="0"/>
        <v>466300.20400000003</v>
      </c>
      <c r="N6" s="77">
        <f>H6-(K6-L6)</f>
        <v>25012.66404512513</v>
      </c>
      <c r="O6" s="76">
        <f>IF('Loan Input Parameters'!$B$8*3%&lt;=4000,4000,IF('Loan Input Parameters'!$B$8*3%&gt;=18000,18000,'Loan Input Parameters'!$B$8*3%))</f>
        <v>15000</v>
      </c>
      <c r="P6" s="76">
        <f t="shared" si="1"/>
        <v>40012.66404512513</v>
      </c>
    </row>
    <row r="7" spans="1:16" ht="14.4" thickBot="1" x14ac:dyDescent="0.35">
      <c r="A7" s="75">
        <f t="shared" si="2"/>
        <v>4</v>
      </c>
      <c r="B7" s="34">
        <f t="shared" si="3"/>
        <v>45322</v>
      </c>
      <c r="C7" s="32">
        <f t="shared" si="4"/>
        <v>491312.86804512516</v>
      </c>
      <c r="D7" s="32">
        <f>IF(A7&lt;'Loan Input Parameters'!$B$16,'Loan Input Parameters'!$B$24,IF(A7='Loan Input Parameters'!$B$16,'Loan Input Parameters'!$B$24+'Loan Input Parameters'!$B$20,0))</f>
        <v>7931.5630539595995</v>
      </c>
      <c r="E7" s="32">
        <f>IF($A7&lt;'Loan Input Parameters'!$B$16,C7*'Loan Input Parameters'!$B$15/12,"0.00")</f>
        <v>4503.7012904136473</v>
      </c>
      <c r="F7" s="32">
        <f>IF(A7&lt;='Loan Input Parameters'!$B$16,'Loan Input Parameters'!$B$23,0)</f>
        <v>69</v>
      </c>
      <c r="G7" s="32">
        <f>IF($A7&lt;'Loan Input Parameters'!$B$16,D7-E7-F7,"0.00")</f>
        <v>3358.8617635459523</v>
      </c>
      <c r="H7" s="32">
        <f>IF($A7&lt;'Loan Input Parameters'!$B$16,C7-G7,"0.00")</f>
        <v>487954.0062815792</v>
      </c>
      <c r="I7" s="45">
        <f>H7/'Loan Input Parameters'!$B$13</f>
        <v>0.97355687271555036</v>
      </c>
      <c r="J7" s="45">
        <f t="shared" si="5"/>
        <v>0.23</v>
      </c>
      <c r="K7" s="76" cm="1">
        <f t="array" ref="K7">IF(
AND(MONTH($B7)=1,SUMPRODUCT(--(MONTH($B$4:B7)=1))=1),
K6*(1-22%*J7),
IF(
AND(MONTH($B7)=1,SUMPRODUCT(--(MONTH($B$4:B7)=1))=2),
K6*(1-20%*J7),
IF($A7&lt;13,K6*(1-(J7*4%)),
IF($A7&lt;25,K6*(1-(J7*5%)),K6*(1-J7/12)
)
)
))</f>
        <v>442705.41367760004</v>
      </c>
      <c r="L7" s="76">
        <f>IF(K7*'Loan Input Parameters'!$B$41&lt;'Loan Input Parameters'!$B$42,'Loan Input Parameters'!$B$42,K7*'Loan Input Parameters'!$B$41)</f>
        <v>0</v>
      </c>
      <c r="M7" s="76">
        <f t="shared" si="0"/>
        <v>442705.41367760004</v>
      </c>
      <c r="N7" s="77">
        <f t="shared" ref="N7:N63" si="6">H7-(K7-L7)</f>
        <v>45248.592603979167</v>
      </c>
      <c r="O7" s="76">
        <f>IF('Loan Input Parameters'!$B$8*3%&lt;=4000,4000,IF('Loan Input Parameters'!$B$8*3%&gt;=18000,18000,'Loan Input Parameters'!$B$8*3%))</f>
        <v>15000</v>
      </c>
      <c r="P7" s="76">
        <f t="shared" si="1"/>
        <v>60248.592603979167</v>
      </c>
    </row>
    <row r="8" spans="1:16" ht="14.4" thickBot="1" x14ac:dyDescent="0.35">
      <c r="A8" s="75">
        <f t="shared" si="2"/>
        <v>5</v>
      </c>
      <c r="B8" s="34">
        <f t="shared" si="3"/>
        <v>45351</v>
      </c>
      <c r="C8" s="32">
        <f t="shared" si="4"/>
        <v>487954.0062815792</v>
      </c>
      <c r="D8" s="32">
        <f>IF(A8&lt;'Loan Input Parameters'!$B$16,'Loan Input Parameters'!$B$24,IF(A8='Loan Input Parameters'!$B$16,'Loan Input Parameters'!$B$24+'Loan Input Parameters'!$B$20,0))</f>
        <v>7931.5630539595995</v>
      </c>
      <c r="E8" s="32">
        <f>IF($A8&lt;'Loan Input Parameters'!$B$16,C8*'Loan Input Parameters'!$B$15/12,"0.00")</f>
        <v>4472.9117242478096</v>
      </c>
      <c r="F8" s="32">
        <f>IF(A8&lt;='Loan Input Parameters'!$B$16,'Loan Input Parameters'!$B$23,0)</f>
        <v>69</v>
      </c>
      <c r="G8" s="32">
        <f>IF($A8&lt;'Loan Input Parameters'!$B$16,D8-E8-F8,"0.00")</f>
        <v>3389.6513297117899</v>
      </c>
      <c r="H8" s="32">
        <f>IF($A8&lt;'Loan Input Parameters'!$B$16,C8-G8,"0.00")</f>
        <v>484564.35495186743</v>
      </c>
      <c r="I8" s="45">
        <f>H8/'Loan Input Parameters'!$B$13</f>
        <v>0.96679390262888609</v>
      </c>
      <c r="J8" s="45">
        <f t="shared" si="5"/>
        <v>0.23</v>
      </c>
      <c r="K8" s="76" cm="1">
        <f t="array" ref="K8">IF(
AND(MONTH($B8)=1,SUMPRODUCT(--(MONTH($B$4:B8)=1))=1),
K7*(1-22%*J8),
IF(
AND(MONTH($B8)=1,SUMPRODUCT(--(MONTH($B$4:B8)=1))=2),
K7*(1-20%*J8),
IF($A8&lt;13,K7*(1-(J8*4%)),
IF($A8&lt;25,K7*(1-(J8*5%)),K7*(1-J8/12)
)
)
))</f>
        <v>438632.52387176611</v>
      </c>
      <c r="L8" s="76">
        <f>IF(K8*'Loan Input Parameters'!$B$41&lt;'Loan Input Parameters'!$B$42,'Loan Input Parameters'!$B$42,K8*'Loan Input Parameters'!$B$41)</f>
        <v>0</v>
      </c>
      <c r="M8" s="76">
        <f t="shared" si="0"/>
        <v>438632.52387176611</v>
      </c>
      <c r="N8" s="77">
        <f t="shared" si="6"/>
        <v>45931.831080101314</v>
      </c>
      <c r="O8" s="76">
        <f>IF('Loan Input Parameters'!$B$8*3%&lt;=4000,4000,IF('Loan Input Parameters'!$B$8*3%&gt;=18000,18000,'Loan Input Parameters'!$B$8*3%))</f>
        <v>15000</v>
      </c>
      <c r="P8" s="76">
        <f t="shared" si="1"/>
        <v>60931.831080101314</v>
      </c>
    </row>
    <row r="9" spans="1:16" ht="14.4" thickBot="1" x14ac:dyDescent="0.35">
      <c r="A9" s="75">
        <f t="shared" si="2"/>
        <v>6</v>
      </c>
      <c r="B9" s="34">
        <f t="shared" si="3"/>
        <v>45382</v>
      </c>
      <c r="C9" s="32">
        <f t="shared" si="4"/>
        <v>484564.35495186743</v>
      </c>
      <c r="D9" s="32">
        <f>IF(A9&lt;'Loan Input Parameters'!$B$16,'Loan Input Parameters'!$B$24,IF(A9='Loan Input Parameters'!$B$16,'Loan Input Parameters'!$B$24+'Loan Input Parameters'!$B$20,0))</f>
        <v>7931.5630539595995</v>
      </c>
      <c r="E9" s="32">
        <f>IF($A9&lt;'Loan Input Parameters'!$B$16,C9*'Loan Input Parameters'!$B$15/12,"0.00")</f>
        <v>4441.8399203921181</v>
      </c>
      <c r="F9" s="32">
        <f>IF(A9&lt;='Loan Input Parameters'!$B$16,'Loan Input Parameters'!$B$23,0)</f>
        <v>69</v>
      </c>
      <c r="G9" s="32">
        <f>IF($A9&lt;'Loan Input Parameters'!$B$16,D9-E9-F9,"0.00")</f>
        <v>3420.7231335674815</v>
      </c>
      <c r="H9" s="32">
        <f>IF($A9&lt;'Loan Input Parameters'!$B$16,C9-G9,"0.00")</f>
        <v>481143.63181829994</v>
      </c>
      <c r="I9" s="45">
        <f>H9/'Loan Input Parameters'!$B$13</f>
        <v>0.95996893864976074</v>
      </c>
      <c r="J9" s="45">
        <f t="shared" si="5"/>
        <v>0.23</v>
      </c>
      <c r="K9" s="76" cm="1">
        <f t="array" ref="K9">IF(
AND(MONTH($B9)=1,SUMPRODUCT(--(MONTH($B$4:B9)=1))=1),
K8*(1-22%*J9),
IF(
AND(MONTH($B9)=1,SUMPRODUCT(--(MONTH($B$4:B9)=1))=2),
K8*(1-20%*J9),
IF($A9&lt;13,K8*(1-(J9*4%)),
IF($A9&lt;25,K8*(1-(J9*5%)),K8*(1-J9/12)
)
)
))</f>
        <v>434597.10465214588</v>
      </c>
      <c r="L9" s="76">
        <f>IF(K9*'Loan Input Parameters'!$B$41&lt;'Loan Input Parameters'!$B$42,'Loan Input Parameters'!$B$42,K9*'Loan Input Parameters'!$B$41)</f>
        <v>0</v>
      </c>
      <c r="M9" s="76">
        <f t="shared" si="0"/>
        <v>434597.10465214588</v>
      </c>
      <c r="N9" s="77">
        <f t="shared" si="6"/>
        <v>46546.527166154061</v>
      </c>
      <c r="O9" s="76">
        <f>IF('Loan Input Parameters'!$B$8*3%&lt;=4000,4000,IF('Loan Input Parameters'!$B$8*3%&gt;=18000,18000,'Loan Input Parameters'!$B$8*3%))</f>
        <v>15000</v>
      </c>
      <c r="P9" s="76">
        <f t="shared" si="1"/>
        <v>61546.527166154061</v>
      </c>
    </row>
    <row r="10" spans="1:16" ht="14.4" thickBot="1" x14ac:dyDescent="0.35">
      <c r="A10" s="75">
        <f t="shared" si="2"/>
        <v>7</v>
      </c>
      <c r="B10" s="34">
        <f t="shared" si="3"/>
        <v>45412</v>
      </c>
      <c r="C10" s="32">
        <f t="shared" si="4"/>
        <v>481143.63181829994</v>
      </c>
      <c r="D10" s="32">
        <f>IF(A10&lt;'Loan Input Parameters'!$B$16,'Loan Input Parameters'!$B$24,IF(A10='Loan Input Parameters'!$B$16,'Loan Input Parameters'!$B$24+'Loan Input Parameters'!$B$20,0))</f>
        <v>7931.5630539595995</v>
      </c>
      <c r="E10" s="32">
        <f>IF($A10&lt;'Loan Input Parameters'!$B$16,C10*'Loan Input Parameters'!$B$15/12,"0.00")</f>
        <v>4410.4832916677497</v>
      </c>
      <c r="F10" s="32">
        <f>IF(A10&lt;='Loan Input Parameters'!$B$16,'Loan Input Parameters'!$B$23,0)</f>
        <v>69</v>
      </c>
      <c r="G10" s="32">
        <f>IF($A10&lt;'Loan Input Parameters'!$B$16,D10-E10-F10,"0.00")</f>
        <v>3452.0797622918499</v>
      </c>
      <c r="H10" s="32">
        <f>IF($A10&lt;'Loan Input Parameters'!$B$16,C10-G10,"0.00")</f>
        <v>477691.55205600808</v>
      </c>
      <c r="I10" s="45">
        <f>H10/'Loan Input Parameters'!$B$13</f>
        <v>0.95308141250082667</v>
      </c>
      <c r="J10" s="45">
        <f t="shared" si="5"/>
        <v>0.23</v>
      </c>
      <c r="K10" s="76" cm="1">
        <f t="array" ref="K10">IF(
AND(MONTH($B10)=1,SUMPRODUCT(--(MONTH($B$4:B10)=1))=1),
K9*(1-22%*J10),
IF(
AND(MONTH($B10)=1,SUMPRODUCT(--(MONTH($B$4:B10)=1))=2),
K9*(1-20%*J10),
IF($A10&lt;13,K9*(1-(J10*4%)),
IF($A10&lt;25,K9*(1-(J10*5%)),K9*(1-J10/12)
)
)
))</f>
        <v>430598.81128934614</v>
      </c>
      <c r="L10" s="76">
        <f>IF(K10*'Loan Input Parameters'!$B$41&lt;'Loan Input Parameters'!$B$42,'Loan Input Parameters'!$B$42,K10*'Loan Input Parameters'!$B$41)</f>
        <v>0</v>
      </c>
      <c r="M10" s="76">
        <f t="shared" si="0"/>
        <v>430598.81128934614</v>
      </c>
      <c r="N10" s="77">
        <f t="shared" si="6"/>
        <v>47092.74076666194</v>
      </c>
      <c r="O10" s="76">
        <f>IF('Loan Input Parameters'!$B$8*3%&lt;=4000,4000,IF('Loan Input Parameters'!$B$8*3%&gt;=18000,18000,'Loan Input Parameters'!$B$8*3%))</f>
        <v>15000</v>
      </c>
      <c r="P10" s="76">
        <f t="shared" si="1"/>
        <v>62092.74076666194</v>
      </c>
    </row>
    <row r="11" spans="1:16" ht="14.4" thickBot="1" x14ac:dyDescent="0.35">
      <c r="A11" s="75">
        <f t="shared" si="2"/>
        <v>8</v>
      </c>
      <c r="B11" s="34">
        <f t="shared" si="3"/>
        <v>45443</v>
      </c>
      <c r="C11" s="32">
        <f t="shared" si="4"/>
        <v>477691.55205600808</v>
      </c>
      <c r="D11" s="32">
        <f>IF(A11&lt;'Loan Input Parameters'!$B$16,'Loan Input Parameters'!$B$24,IF(A11='Loan Input Parameters'!$B$16,'Loan Input Parameters'!$B$24+'Loan Input Parameters'!$B$20,0))</f>
        <v>7931.5630539595995</v>
      </c>
      <c r="E11" s="32">
        <f>IF($A11&lt;'Loan Input Parameters'!$B$16,C11*'Loan Input Parameters'!$B$15/12,"0.00")</f>
        <v>4378.839227180074</v>
      </c>
      <c r="F11" s="32">
        <f>IF(A11&lt;='Loan Input Parameters'!$B$16,'Loan Input Parameters'!$B$23,0)</f>
        <v>69</v>
      </c>
      <c r="G11" s="32">
        <f>IF($A11&lt;'Loan Input Parameters'!$B$16,D11-E11-F11,"0.00")</f>
        <v>3483.7238267795256</v>
      </c>
      <c r="H11" s="32">
        <f>IF($A11&lt;'Loan Input Parameters'!$B$16,C11-G11,"0.00")</f>
        <v>474207.82822922856</v>
      </c>
      <c r="I11" s="45">
        <f>H11/'Loan Input Parameters'!$B$13</f>
        <v>0.94613075069552743</v>
      </c>
      <c r="J11" s="45">
        <f t="shared" si="5"/>
        <v>0.23</v>
      </c>
      <c r="K11" s="76" cm="1">
        <f t="array" ref="K11">IF(
AND(MONTH($B11)=1,SUMPRODUCT(--(MONTH($B$4:B11)=1))=1),
K10*(1-22%*J11),
IF(
AND(MONTH($B11)=1,SUMPRODUCT(--(MONTH($B$4:B11)=1))=2),
K10*(1-20%*J11),
IF($A11&lt;13,K10*(1-(J11*4%)),
IF($A11&lt;25,K10*(1-(J11*5%)),K10*(1-J11/12)
)
)
))</f>
        <v>426637.30222548416</v>
      </c>
      <c r="L11" s="76">
        <f>IF(K11*'Loan Input Parameters'!$B$41&lt;'Loan Input Parameters'!$B$42,'Loan Input Parameters'!$B$42,K11*'Loan Input Parameters'!$B$41)</f>
        <v>0</v>
      </c>
      <c r="M11" s="76">
        <f t="shared" si="0"/>
        <v>426637.30222548416</v>
      </c>
      <c r="N11" s="77">
        <f t="shared" si="6"/>
        <v>47570.526003744395</v>
      </c>
      <c r="O11" s="76">
        <f>IF('Loan Input Parameters'!$B$8*3%&lt;=4000,4000,IF('Loan Input Parameters'!$B$8*3%&gt;=18000,18000,'Loan Input Parameters'!$B$8*3%))</f>
        <v>15000</v>
      </c>
      <c r="P11" s="76">
        <f t="shared" si="1"/>
        <v>62570.526003744395</v>
      </c>
    </row>
    <row r="12" spans="1:16" ht="14.4" thickBot="1" x14ac:dyDescent="0.35">
      <c r="A12" s="75">
        <f t="shared" si="2"/>
        <v>9</v>
      </c>
      <c r="B12" s="34">
        <f t="shared" si="3"/>
        <v>45473</v>
      </c>
      <c r="C12" s="32">
        <f t="shared" si="4"/>
        <v>474207.82822922856</v>
      </c>
      <c r="D12" s="32">
        <f>IF(A12&lt;'Loan Input Parameters'!$B$16,'Loan Input Parameters'!$B$24,IF(A12='Loan Input Parameters'!$B$16,'Loan Input Parameters'!$B$24+'Loan Input Parameters'!$B$20,0))</f>
        <v>7931.5630539595995</v>
      </c>
      <c r="E12" s="32">
        <f>IF($A12&lt;'Loan Input Parameters'!$B$16,C12*'Loan Input Parameters'!$B$15/12,"0.00")</f>
        <v>4346.9050921012613</v>
      </c>
      <c r="F12" s="32">
        <f>IF(A12&lt;='Loan Input Parameters'!$B$16,'Loan Input Parameters'!$B$23,0)</f>
        <v>69</v>
      </c>
      <c r="G12" s="32">
        <f>IF($A12&lt;'Loan Input Parameters'!$B$16,D12-E12-F12,"0.00")</f>
        <v>3515.6579618583382</v>
      </c>
      <c r="H12" s="32">
        <f>IF($A12&lt;'Loan Input Parameters'!$B$16,C12-G12,"0.00")</f>
        <v>470692.17026737024</v>
      </c>
      <c r="I12" s="45">
        <f>H12/'Loan Input Parameters'!$B$13</f>
        <v>0.93911637449034624</v>
      </c>
      <c r="J12" s="45">
        <f t="shared" si="5"/>
        <v>0.23</v>
      </c>
      <c r="K12" s="76" cm="1">
        <f t="array" ref="K12">IF(
AND(MONTH($B12)=1,SUMPRODUCT(--(MONTH($B$4:B12)=1))=1),
K11*(1-22%*J12),
IF(
AND(MONTH($B12)=1,SUMPRODUCT(--(MONTH($B$4:B12)=1))=2),
K11*(1-20%*J12),
IF($A12&lt;13,K11*(1-(J12*4%)),
IF($A12&lt;25,K11*(1-(J12*5%)),K11*(1-J12/12)
)
)
))</f>
        <v>422712.23904500972</v>
      </c>
      <c r="L12" s="76">
        <f>IF(K12*'Loan Input Parameters'!$B$41&lt;'Loan Input Parameters'!$B$42,'Loan Input Parameters'!$B$42,K12*'Loan Input Parameters'!$B$41)</f>
        <v>0</v>
      </c>
      <c r="M12" s="76">
        <f t="shared" si="0"/>
        <v>422712.23904500972</v>
      </c>
      <c r="N12" s="77">
        <f t="shared" si="6"/>
        <v>47979.931222360523</v>
      </c>
      <c r="O12" s="76">
        <f>IF('Loan Input Parameters'!$B$8*3%&lt;=4000,4000,IF('Loan Input Parameters'!$B$8*3%&gt;=18000,18000,'Loan Input Parameters'!$B$8*3%))</f>
        <v>15000</v>
      </c>
      <c r="P12" s="76">
        <f t="shared" si="1"/>
        <v>62979.931222360523</v>
      </c>
    </row>
    <row r="13" spans="1:16" ht="14.4" thickBot="1" x14ac:dyDescent="0.35">
      <c r="A13" s="75">
        <f t="shared" si="2"/>
        <v>10</v>
      </c>
      <c r="B13" s="34">
        <f t="shared" si="3"/>
        <v>45504</v>
      </c>
      <c r="C13" s="32">
        <f t="shared" si="4"/>
        <v>470692.17026737024</v>
      </c>
      <c r="D13" s="32">
        <f>IF(A13&lt;'Loan Input Parameters'!$B$16,'Loan Input Parameters'!$B$24,IF(A13='Loan Input Parameters'!$B$16,'Loan Input Parameters'!$B$24+'Loan Input Parameters'!$B$20,0))</f>
        <v>7931.5630539595995</v>
      </c>
      <c r="E13" s="32">
        <f>IF($A13&lt;'Loan Input Parameters'!$B$16,C13*'Loan Input Parameters'!$B$15/12,"0.00")</f>
        <v>4314.6782274508942</v>
      </c>
      <c r="F13" s="32">
        <f>IF(A13&lt;='Loan Input Parameters'!$B$16,'Loan Input Parameters'!$B$23,0)</f>
        <v>69</v>
      </c>
      <c r="G13" s="32">
        <f>IF($A13&lt;'Loan Input Parameters'!$B$16,D13-E13-F13,"0.00")</f>
        <v>3547.8848265087054</v>
      </c>
      <c r="H13" s="32">
        <f>IF($A13&lt;'Loan Input Parameters'!$B$16,C13-G13,"0.00")</f>
        <v>467144.28544086154</v>
      </c>
      <c r="I13" s="45">
        <f>H13/'Loan Input Parameters'!$B$13</f>
        <v>0.93203769983661766</v>
      </c>
      <c r="J13" s="45">
        <f t="shared" si="5"/>
        <v>0.23</v>
      </c>
      <c r="K13" s="76" cm="1">
        <f t="array" ref="K13">IF(
AND(MONTH($B13)=1,SUMPRODUCT(--(MONTH($B$4:B13)=1))=1),
K12*(1-22%*J13),
IF(
AND(MONTH($B13)=1,SUMPRODUCT(--(MONTH($B$4:B13)=1))=2),
K12*(1-20%*J13),
IF($A13&lt;13,K12*(1-(J13*4%)),
IF($A13&lt;25,K12*(1-(J13*5%)),K12*(1-J13/12)
)
)
))</f>
        <v>418823.28644579562</v>
      </c>
      <c r="L13" s="76">
        <f>IF(K13*'Loan Input Parameters'!$B$41&lt;'Loan Input Parameters'!$B$42,'Loan Input Parameters'!$B$42,K13*'Loan Input Parameters'!$B$41)</f>
        <v>0</v>
      </c>
      <c r="M13" s="76">
        <f t="shared" si="0"/>
        <v>418823.28644579562</v>
      </c>
      <c r="N13" s="77">
        <f t="shared" si="6"/>
        <v>48320.998995065922</v>
      </c>
      <c r="O13" s="76">
        <f>IF('Loan Input Parameters'!$B$8*3%&lt;=4000,4000,IF('Loan Input Parameters'!$B$8*3%&gt;=18000,18000,'Loan Input Parameters'!$B$8*3%))</f>
        <v>15000</v>
      </c>
      <c r="P13" s="76">
        <f t="shared" si="1"/>
        <v>63320.998995065922</v>
      </c>
    </row>
    <row r="14" spans="1:16" ht="14.4" thickBot="1" x14ac:dyDescent="0.35">
      <c r="A14" s="75">
        <f t="shared" si="2"/>
        <v>11</v>
      </c>
      <c r="B14" s="34">
        <f t="shared" si="3"/>
        <v>45535</v>
      </c>
      <c r="C14" s="32">
        <f t="shared" si="4"/>
        <v>467144.28544086154</v>
      </c>
      <c r="D14" s="32">
        <f>IF(A14&lt;'Loan Input Parameters'!$B$16,'Loan Input Parameters'!$B$24,IF(A14='Loan Input Parameters'!$B$16,'Loan Input Parameters'!$B$24+'Loan Input Parameters'!$B$20,0))</f>
        <v>7931.5630539595995</v>
      </c>
      <c r="E14" s="32">
        <f>IF($A14&lt;'Loan Input Parameters'!$B$16,C14*'Loan Input Parameters'!$B$15/12,"0.00")</f>
        <v>4282.1559498745637</v>
      </c>
      <c r="F14" s="32">
        <f>IF(A14&lt;='Loan Input Parameters'!$B$16,'Loan Input Parameters'!$B$23,0)</f>
        <v>69</v>
      </c>
      <c r="G14" s="32">
        <f>IF($A14&lt;'Loan Input Parameters'!$B$16,D14-E14-F14,"0.00")</f>
        <v>3580.4071040850358</v>
      </c>
      <c r="H14" s="32">
        <f>IF($A14&lt;'Loan Input Parameters'!$B$16,C14-G14,"0.00")</f>
        <v>463563.87833677651</v>
      </c>
      <c r="I14" s="45">
        <f>H14/'Loan Input Parameters'!$B$13</f>
        <v>0.92489413733189652</v>
      </c>
      <c r="J14" s="45">
        <f t="shared" si="5"/>
        <v>0.23</v>
      </c>
      <c r="K14" s="76" cm="1">
        <f t="array" ref="K14">IF(
AND(MONTH($B14)=1,SUMPRODUCT(--(MONTH($B$4:B14)=1))=1),
K13*(1-22%*J14),
IF(
AND(MONTH($B14)=1,SUMPRODUCT(--(MONTH($B$4:B14)=1))=2),
K13*(1-20%*J14),
IF($A14&lt;13,K13*(1-(J14*4%)),
IF($A14&lt;25,K13*(1-(J14*5%)),K13*(1-J14/12)
)
)
))</f>
        <v>414970.11221049429</v>
      </c>
      <c r="L14" s="76">
        <f>IF(K14*'Loan Input Parameters'!$B$41&lt;'Loan Input Parameters'!$B$42,'Loan Input Parameters'!$B$42,K14*'Loan Input Parameters'!$B$41)</f>
        <v>0</v>
      </c>
      <c r="M14" s="76">
        <f t="shared" si="0"/>
        <v>414970.11221049429</v>
      </c>
      <c r="N14" s="77">
        <f t="shared" si="6"/>
        <v>48593.766126282222</v>
      </c>
      <c r="O14" s="76">
        <f>IF('Loan Input Parameters'!$B$8*3%&lt;=4000,4000,IF('Loan Input Parameters'!$B$8*3%&gt;=18000,18000,'Loan Input Parameters'!$B$8*3%))</f>
        <v>15000</v>
      </c>
      <c r="P14" s="76">
        <f t="shared" si="1"/>
        <v>63593.766126282222</v>
      </c>
    </row>
    <row r="15" spans="1:16" ht="14.4" thickBot="1" x14ac:dyDescent="0.35">
      <c r="A15" s="75">
        <f t="shared" si="2"/>
        <v>12</v>
      </c>
      <c r="B15" s="34">
        <f t="shared" si="3"/>
        <v>45565</v>
      </c>
      <c r="C15" s="32">
        <f t="shared" si="4"/>
        <v>463563.87833677651</v>
      </c>
      <c r="D15" s="32">
        <f>IF(A15&lt;'Loan Input Parameters'!$B$16,'Loan Input Parameters'!$B$24,IF(A15='Loan Input Parameters'!$B$16,'Loan Input Parameters'!$B$24+'Loan Input Parameters'!$B$20,0))</f>
        <v>7931.5630539595995</v>
      </c>
      <c r="E15" s="32">
        <f>IF($A15&lt;'Loan Input Parameters'!$B$16,C15*'Loan Input Parameters'!$B$15/12,"0.00")</f>
        <v>4249.3355514204513</v>
      </c>
      <c r="F15" s="32">
        <f>IF(A15&lt;='Loan Input Parameters'!$B$16,'Loan Input Parameters'!$B$23,0)</f>
        <v>69</v>
      </c>
      <c r="G15" s="32">
        <f>IF($A15&lt;'Loan Input Parameters'!$B$16,D15-E15-F15,"0.00")</f>
        <v>3613.2275025391482</v>
      </c>
      <c r="H15" s="32">
        <f>IF($A15&lt;'Loan Input Parameters'!$B$16,C15-G15,"0.00")</f>
        <v>459950.65083423734</v>
      </c>
      <c r="I15" s="45">
        <f>H15/'Loan Input Parameters'!$B$13</f>
        <v>0.91768509217088201</v>
      </c>
      <c r="J15" s="45">
        <f t="shared" si="5"/>
        <v>0.23</v>
      </c>
      <c r="K15" s="76" cm="1">
        <f t="array" ref="K15">IF(
AND(MONTH($B15)=1,SUMPRODUCT(--(MONTH($B$4:B15)=1))=1),
K14*(1-22%*J15),
IF(
AND(MONTH($B15)=1,SUMPRODUCT(--(MONTH($B$4:B15)=1))=2),
K14*(1-20%*J15),
IF($A15&lt;13,K14*(1-(J15*4%)),
IF($A15&lt;25,K14*(1-(J15*5%)),K14*(1-J15/12)
)
)
))</f>
        <v>411152.38717815775</v>
      </c>
      <c r="L15" s="76">
        <f>IF(K15*'Loan Input Parameters'!$B$41&lt;'Loan Input Parameters'!$B$42,'Loan Input Parameters'!$B$42,K15*'Loan Input Parameters'!$B$41)</f>
        <v>0</v>
      </c>
      <c r="M15" s="76">
        <f t="shared" si="0"/>
        <v>411152.38717815775</v>
      </c>
      <c r="N15" s="77">
        <f t="shared" si="6"/>
        <v>48798.263656079595</v>
      </c>
      <c r="O15" s="76">
        <f>IF('Loan Input Parameters'!$B$8*3%&lt;=4000,4000,IF('Loan Input Parameters'!$B$8*3%&gt;=18000,18000,'Loan Input Parameters'!$B$8*3%))</f>
        <v>15000</v>
      </c>
      <c r="P15" s="76">
        <f t="shared" si="1"/>
        <v>63798.263656079595</v>
      </c>
    </row>
    <row r="16" spans="1:16" ht="14.4" thickBot="1" x14ac:dyDescent="0.35">
      <c r="A16" s="75">
        <f t="shared" si="2"/>
        <v>13</v>
      </c>
      <c r="B16" s="34">
        <f t="shared" si="3"/>
        <v>45596</v>
      </c>
      <c r="C16" s="32">
        <f t="shared" si="4"/>
        <v>459950.65083423734</v>
      </c>
      <c r="D16" s="32">
        <f>IF(A16&lt;'Loan Input Parameters'!$B$16,'Loan Input Parameters'!$B$24,IF(A16='Loan Input Parameters'!$B$16,'Loan Input Parameters'!$B$24+'Loan Input Parameters'!$B$20,0))</f>
        <v>7931.5630539595995</v>
      </c>
      <c r="E16" s="32">
        <f>IF($A16&lt;'Loan Input Parameters'!$B$16,C16*'Loan Input Parameters'!$B$15/12,"0.00")</f>
        <v>4216.2142993138423</v>
      </c>
      <c r="F16" s="32">
        <f>IF(A16&lt;='Loan Input Parameters'!$B$16,'Loan Input Parameters'!$B$23,0)</f>
        <v>69</v>
      </c>
      <c r="G16" s="32">
        <f>IF($A16&lt;'Loan Input Parameters'!$B$16,D16-E16-F16,"0.00")</f>
        <v>3646.3487546457573</v>
      </c>
      <c r="H16" s="32">
        <f>IF($A16&lt;'Loan Input Parameters'!$B$16,C16-G16,"0.00")</f>
        <v>456304.30207959161</v>
      </c>
      <c r="I16" s="45">
        <f>H16/'Loan Input Parameters'!$B$13</f>
        <v>0.91040996409589159</v>
      </c>
      <c r="J16" s="45">
        <f>IF('Loan Input Parameters'!$B$32="Overide",'Loan Input Parameters'!$C$35,'Loan Input Parameters'!$B$35)</f>
        <v>0.15</v>
      </c>
      <c r="K16" s="76">
        <f>_xlfn.LET(_xlpm.DEPRECIATION,IF('Loan Input Parameters'!$B$6="Used",0.08,0.05),
IF(
MONTH($B16)=1,
K15*(1-(35%*J16)+_xlpm.DEPRECIATION),K15*(1-_xlpm.DEPRECIATION)))</f>
        <v>390594.76781924983</v>
      </c>
      <c r="L16" s="76">
        <f>IF(K16*'Loan Input Parameters'!$B$41&lt;'Loan Input Parameters'!$B$42,'Loan Input Parameters'!$B$42,K16*'Loan Input Parameters'!$B$41)</f>
        <v>0</v>
      </c>
      <c r="M16" s="76">
        <f t="shared" si="0"/>
        <v>390594.76781924983</v>
      </c>
      <c r="N16" s="77">
        <f t="shared" si="6"/>
        <v>65709.534260341781</v>
      </c>
      <c r="O16" s="76">
        <f>IF('Loan Input Parameters'!$B$8*3%&lt;=4000,4000,IF('Loan Input Parameters'!$B$8*3%&gt;=18000,18000,'Loan Input Parameters'!$B$8*3%))</f>
        <v>15000</v>
      </c>
      <c r="P16" s="76">
        <f t="shared" si="1"/>
        <v>80709.534260341781</v>
      </c>
    </row>
    <row r="17" spans="1:16" ht="14.4" thickBot="1" x14ac:dyDescent="0.35">
      <c r="A17" s="75">
        <f t="shared" si="2"/>
        <v>14</v>
      </c>
      <c r="B17" s="34">
        <f t="shared" si="3"/>
        <v>45626</v>
      </c>
      <c r="C17" s="32">
        <f t="shared" si="4"/>
        <v>456304.30207959161</v>
      </c>
      <c r="D17" s="32">
        <f>IF(A17&lt;'Loan Input Parameters'!$B$16,'Loan Input Parameters'!$B$24,IF(A17='Loan Input Parameters'!$B$16,'Loan Input Parameters'!$B$24+'Loan Input Parameters'!$B$20,0))</f>
        <v>7931.5630539595995</v>
      </c>
      <c r="E17" s="32">
        <f>IF($A17&lt;'Loan Input Parameters'!$B$16,C17*'Loan Input Parameters'!$B$15/12,"0.00")</f>
        <v>4182.78943572959</v>
      </c>
      <c r="F17" s="32">
        <f>IF(A17&lt;='Loan Input Parameters'!$B$16,'Loan Input Parameters'!$B$23,0)</f>
        <v>69</v>
      </c>
      <c r="G17" s="32">
        <f>IF($A17&lt;'Loan Input Parameters'!$B$16,D17-E17-F17,"0.00")</f>
        <v>3679.7736182300096</v>
      </c>
      <c r="H17" s="32">
        <f>IF($A17&lt;'Loan Input Parameters'!$B$16,C17-G17,"0.00")</f>
        <v>452624.52846136159</v>
      </c>
      <c r="I17" s="45">
        <f>H17/'Loan Input Parameters'!$B$13</f>
        <v>0.90306814734688046</v>
      </c>
      <c r="J17" s="45">
        <f>IF('Loan Input Parameters'!$B$32="Overide",'Loan Input Parameters'!$C$35,'Loan Input Parameters'!$B$35)</f>
        <v>0.15</v>
      </c>
      <c r="K17" s="76" cm="1">
        <f t="array" ref="K17">IF(
AND(MONTH($B17)=1,SUMPRODUCT(--(MONTH($B$4:B17)=1))=1),
K16*(1-22%*J17),
IF(
AND(MONTH($B17)=1,SUMPRODUCT(--(MONTH($B$4:B17)=1))=2),
K16*(1-20%*J17),
IF($A17&lt;13,K16*(1-(J17*4%)),
IF($A17&lt;25,K16*(1-(J17*5%)),K16*(1-J17/12)))))</f>
        <v>387665.3070606055</v>
      </c>
      <c r="L17" s="76">
        <f>IF(K17*'Loan Input Parameters'!$B$41&lt;'Loan Input Parameters'!$B$42,'Loan Input Parameters'!$B$42,K17*'Loan Input Parameters'!$B$41)</f>
        <v>0</v>
      </c>
      <c r="M17" s="76">
        <f t="shared" si="0"/>
        <v>387665.3070606055</v>
      </c>
      <c r="N17" s="77">
        <f t="shared" si="6"/>
        <v>64959.221400756098</v>
      </c>
      <c r="O17" s="76">
        <f>IF('Loan Input Parameters'!$B$8*3%&lt;=4000,4000,IF('Loan Input Parameters'!$B$8*3%&gt;=18000,18000,'Loan Input Parameters'!$B$8*3%))</f>
        <v>15000</v>
      </c>
      <c r="P17" s="76">
        <f t="shared" si="1"/>
        <v>79959.221400756098</v>
      </c>
    </row>
    <row r="18" spans="1:16" ht="14.4" thickBot="1" x14ac:dyDescent="0.35">
      <c r="A18" s="75">
        <f t="shared" si="2"/>
        <v>15</v>
      </c>
      <c r="B18" s="34">
        <f t="shared" si="3"/>
        <v>45657</v>
      </c>
      <c r="C18" s="32">
        <f t="shared" si="4"/>
        <v>452624.52846136159</v>
      </c>
      <c r="D18" s="32">
        <f>IF(A18&lt;'Loan Input Parameters'!$B$16,'Loan Input Parameters'!$B$24,IF(A18='Loan Input Parameters'!$B$16,'Loan Input Parameters'!$B$24+'Loan Input Parameters'!$B$20,0))</f>
        <v>7931.5630539595995</v>
      </c>
      <c r="E18" s="32">
        <f>IF($A18&lt;'Loan Input Parameters'!$B$16,C18*'Loan Input Parameters'!$B$15/12,"0.00")</f>
        <v>4149.0581775624814</v>
      </c>
      <c r="F18" s="32">
        <f>IF(A18&lt;='Loan Input Parameters'!$B$16,'Loan Input Parameters'!$B$23,0)</f>
        <v>69</v>
      </c>
      <c r="G18" s="32">
        <f>IF($A18&lt;'Loan Input Parameters'!$B$16,D18-E18-F18,"0.00")</f>
        <v>3713.5048763971181</v>
      </c>
      <c r="H18" s="32">
        <f>IF($A18&lt;'Loan Input Parameters'!$B$16,C18-G18,"0.00")</f>
        <v>448911.02358496445</v>
      </c>
      <c r="I18" s="45">
        <f>H18/'Loan Input Parameters'!$B$13</f>
        <v>0.89565903061100338</v>
      </c>
      <c r="J18" s="45">
        <f>IF('Loan Input Parameters'!$B$32="Overide",'Loan Input Parameters'!$C$35,'Loan Input Parameters'!$B$35)</f>
        <v>0.15</v>
      </c>
      <c r="K18" s="76" cm="1">
        <f t="array" ref="K18">IF(
AND(MONTH($B18)=1,SUMPRODUCT(--(MONTH($B$4:B18)=1))=1),
K17*(1-22%*J18),
IF(
AND(MONTH($B18)=1,SUMPRODUCT(--(MONTH($B$4:B18)=1))=2),
K17*(1-20%*J18),
IF($A18&lt;13,K17*(1-(J18*4%)),
IF($A18&lt;25,K17*(1-(J18*5%)),K17*(1-J18/12)
)
)
))</f>
        <v>384757.81725765095</v>
      </c>
      <c r="L18" s="76">
        <f>IF(K18*'Loan Input Parameters'!$B$41&lt;'Loan Input Parameters'!$B$42,'Loan Input Parameters'!$B$42,K18*'Loan Input Parameters'!$B$41)</f>
        <v>0</v>
      </c>
      <c r="M18" s="76">
        <f t="shared" si="0"/>
        <v>384757.81725765095</v>
      </c>
      <c r="N18" s="77">
        <f t="shared" si="6"/>
        <v>64153.206327313499</v>
      </c>
      <c r="O18" s="76">
        <f>IF('Loan Input Parameters'!$B$8*3%&lt;=4000,4000,IF('Loan Input Parameters'!$B$8*3%&gt;=18000,18000,'Loan Input Parameters'!$B$8*3%))</f>
        <v>15000</v>
      </c>
      <c r="P18" s="76">
        <f t="shared" si="1"/>
        <v>79153.206327313499</v>
      </c>
    </row>
    <row r="19" spans="1:16" ht="14.4" thickBot="1" x14ac:dyDescent="0.35">
      <c r="A19" s="75">
        <f t="shared" si="2"/>
        <v>16</v>
      </c>
      <c r="B19" s="34">
        <f t="shared" si="3"/>
        <v>45688</v>
      </c>
      <c r="C19" s="32">
        <f t="shared" si="4"/>
        <v>448911.02358496445</v>
      </c>
      <c r="D19" s="32">
        <f>IF(A19&lt;'Loan Input Parameters'!$B$16,'Loan Input Parameters'!$B$24,IF(A19='Loan Input Parameters'!$B$16,'Loan Input Parameters'!$B$24+'Loan Input Parameters'!$B$20,0))</f>
        <v>7931.5630539595995</v>
      </c>
      <c r="E19" s="32">
        <f>IF($A19&lt;'Loan Input Parameters'!$B$16,C19*'Loan Input Parameters'!$B$15/12,"0.00")</f>
        <v>4115.017716195508</v>
      </c>
      <c r="F19" s="32">
        <f>IF(A19&lt;='Loan Input Parameters'!$B$16,'Loan Input Parameters'!$B$23,0)</f>
        <v>69</v>
      </c>
      <c r="G19" s="32">
        <f>IF($A19&lt;'Loan Input Parameters'!$B$16,D19-E19-F19,"0.00")</f>
        <v>3747.5453377640915</v>
      </c>
      <c r="H19" s="32">
        <f>IF($A19&lt;'Loan Input Parameters'!$B$16,C19-G19,"0.00")</f>
        <v>445163.47824720037</v>
      </c>
      <c r="I19" s="45">
        <f>H19/'Loan Input Parameters'!$B$13</f>
        <v>0.88818199697171407</v>
      </c>
      <c r="J19" s="45">
        <f>IF('Loan Input Parameters'!$B$32="Overide",'Loan Input Parameters'!$C$35,'Loan Input Parameters'!$B$35)</f>
        <v>0.15</v>
      </c>
      <c r="K19" s="76" cm="1">
        <f t="array" ref="K19">IF(
AND(MONTH($B19)=1,SUMPRODUCT(--(MONTH($B$4:B19)=1))=1),
K18*(1-22%*J19),
IF(
AND(MONTH($B19)=1,SUMPRODUCT(--(MONTH($B$4:B19)=1))=2),
K18*(1-20%*J19),
IF($A19&lt;13,K18*(1-(J19*4%)),
IF($A19&lt;25,K18*(1-(J19*5%)),K18*(1-J19/12)
)
)
))</f>
        <v>373215.0827399214</v>
      </c>
      <c r="L19" s="76">
        <f>IF(K19*'Loan Input Parameters'!$B$41&lt;'Loan Input Parameters'!$B$42,'Loan Input Parameters'!$B$42,K19*'Loan Input Parameters'!$B$41)</f>
        <v>0</v>
      </c>
      <c r="M19" s="76">
        <f t="shared" si="0"/>
        <v>373215.0827399214</v>
      </c>
      <c r="N19" s="77">
        <f t="shared" si="6"/>
        <v>71948.395507278969</v>
      </c>
      <c r="O19" s="76">
        <f>IF('Loan Input Parameters'!$B$8*3%&lt;=4000,4000,IF('Loan Input Parameters'!$B$8*3%&gt;=18000,18000,'Loan Input Parameters'!$B$8*3%))</f>
        <v>15000</v>
      </c>
      <c r="P19" s="76">
        <f t="shared" si="1"/>
        <v>86948.395507278969</v>
      </c>
    </row>
    <row r="20" spans="1:16" ht="14.4" thickBot="1" x14ac:dyDescent="0.35">
      <c r="A20" s="75">
        <f t="shared" si="2"/>
        <v>17</v>
      </c>
      <c r="B20" s="34">
        <f t="shared" si="3"/>
        <v>45716</v>
      </c>
      <c r="C20" s="32">
        <f t="shared" si="4"/>
        <v>445163.47824720037</v>
      </c>
      <c r="D20" s="32">
        <f>IF(A20&lt;'Loan Input Parameters'!$B$16,'Loan Input Parameters'!$B$24,IF(A20='Loan Input Parameters'!$B$16,'Loan Input Parameters'!$B$24+'Loan Input Parameters'!$B$20,0))</f>
        <v>7931.5630539595995</v>
      </c>
      <c r="E20" s="32">
        <f>IF($A20&lt;'Loan Input Parameters'!$B$16,C20*'Loan Input Parameters'!$B$15/12,"0.00")</f>
        <v>4080.6652172660033</v>
      </c>
      <c r="F20" s="32">
        <f>IF(A20&lt;='Loan Input Parameters'!$B$16,'Loan Input Parameters'!$B$23,0)</f>
        <v>69</v>
      </c>
      <c r="G20" s="32">
        <f>IF($A20&lt;'Loan Input Parameters'!$B$16,D20-E20-F20,"0.00")</f>
        <v>3781.8978366935962</v>
      </c>
      <c r="H20" s="32">
        <f>IF($A20&lt;'Loan Input Parameters'!$B$16,C20-G20,"0.00")</f>
        <v>441381.58041050675</v>
      </c>
      <c r="I20" s="45">
        <f>H20/'Loan Input Parameters'!$B$13</f>
        <v>0.88063642385739793</v>
      </c>
      <c r="J20" s="45">
        <f>IF('Loan Input Parameters'!$B$32="Overide",'Loan Input Parameters'!$C$35,'Loan Input Parameters'!$B$35)</f>
        <v>0.15</v>
      </c>
      <c r="K20" s="76" cm="1">
        <f t="array" ref="K20">IF(
AND(MONTH($B20)=1,SUMPRODUCT(--(MONTH($B$4:B20)=1))=1),
K19*(1-22%*J20),
IF(
AND(MONTH($B20)=1,SUMPRODUCT(--(MONTH($B$4:B20)=1))=2),
K19*(1-20%*J20),
IF($A20&lt;13,K19*(1-(J20*4%)),
IF($A20&lt;25,K19*(1-(J20*5%)),K19*(1-J20/12)
)
)
))</f>
        <v>370415.96961937199</v>
      </c>
      <c r="L20" s="76">
        <f>IF(K20*'Loan Input Parameters'!$B$41&lt;'Loan Input Parameters'!$B$42,'Loan Input Parameters'!$B$42,K20*'Loan Input Parameters'!$B$41)</f>
        <v>0</v>
      </c>
      <c r="M20" s="76">
        <f t="shared" si="0"/>
        <v>370415.96961937199</v>
      </c>
      <c r="N20" s="77">
        <f t="shared" si="6"/>
        <v>70965.610791134764</v>
      </c>
      <c r="O20" s="76">
        <f>IF('Loan Input Parameters'!$B$8*3%&lt;=4000,4000,IF('Loan Input Parameters'!$B$8*3%&gt;=18000,18000,'Loan Input Parameters'!$B$8*3%))</f>
        <v>15000</v>
      </c>
      <c r="P20" s="76">
        <f t="shared" si="1"/>
        <v>85965.610791134764</v>
      </c>
    </row>
    <row r="21" spans="1:16" ht="14.4" thickBot="1" x14ac:dyDescent="0.35">
      <c r="A21" s="75">
        <f t="shared" si="2"/>
        <v>18</v>
      </c>
      <c r="B21" s="34">
        <f t="shared" si="3"/>
        <v>45747</v>
      </c>
      <c r="C21" s="32">
        <f t="shared" si="4"/>
        <v>441381.58041050675</v>
      </c>
      <c r="D21" s="32">
        <f>IF(A21&lt;'Loan Input Parameters'!$B$16,'Loan Input Parameters'!$B$24,IF(A21='Loan Input Parameters'!$B$16,'Loan Input Parameters'!$B$24+'Loan Input Parameters'!$B$20,0))</f>
        <v>7931.5630539595995</v>
      </c>
      <c r="E21" s="32">
        <f>IF($A21&lt;'Loan Input Parameters'!$B$16,C21*'Loan Input Parameters'!$B$15/12,"0.00")</f>
        <v>4045.9978204296453</v>
      </c>
      <c r="F21" s="32">
        <f>IF(A21&lt;='Loan Input Parameters'!$B$16,'Loan Input Parameters'!$B$23,0)</f>
        <v>69</v>
      </c>
      <c r="G21" s="32">
        <f>IF($A21&lt;'Loan Input Parameters'!$B$16,D21-E21-F21,"0.00")</f>
        <v>3816.5652335299542</v>
      </c>
      <c r="H21" s="32">
        <f>IF($A21&lt;'Loan Input Parameters'!$B$16,C21-G21,"0.00")</f>
        <v>437565.0151769768</v>
      </c>
      <c r="I21" s="45">
        <f>H21/'Loan Input Parameters'!$B$13</f>
        <v>0.87302168298953386</v>
      </c>
      <c r="J21" s="45">
        <f>IF('Loan Input Parameters'!$B$32="Overide",'Loan Input Parameters'!$C$35,'Loan Input Parameters'!$B$35)</f>
        <v>0.15</v>
      </c>
      <c r="K21" s="76" cm="1">
        <f t="array" ref="K21">IF(
AND(MONTH($B21)=1,SUMPRODUCT(--(MONTH($B$4:B21)=1))=1),
K20*(1-22%*J21),
IF(
AND(MONTH($B21)=1,SUMPRODUCT(--(MONTH($B$4:B21)=1))=2),
K20*(1-20%*J21),
IF($A21&lt;13,K20*(1-(J21*4%)),
IF($A21&lt;25,K20*(1-(J21*5%)),K20*(1-J21/12)
)
)
))</f>
        <v>367637.84984722669</v>
      </c>
      <c r="L21" s="76">
        <f>IF(K21*'Loan Input Parameters'!$B$41&lt;'Loan Input Parameters'!$B$42,'Loan Input Parameters'!$B$42,K21*'Loan Input Parameters'!$B$41)</f>
        <v>0</v>
      </c>
      <c r="M21" s="76">
        <f t="shared" si="0"/>
        <v>367637.84984722669</v>
      </c>
      <c r="N21" s="77">
        <f t="shared" si="6"/>
        <v>69927.165329750103</v>
      </c>
      <c r="O21" s="76">
        <f>IF('Loan Input Parameters'!$B$8*3%&lt;=4000,4000,IF('Loan Input Parameters'!$B$8*3%&gt;=18000,18000,'Loan Input Parameters'!$B$8*3%))</f>
        <v>15000</v>
      </c>
      <c r="P21" s="76">
        <f t="shared" si="1"/>
        <v>84927.165329750103</v>
      </c>
    </row>
    <row r="22" spans="1:16" ht="14.4" thickBot="1" x14ac:dyDescent="0.35">
      <c r="A22" s="75">
        <f t="shared" si="2"/>
        <v>19</v>
      </c>
      <c r="B22" s="34">
        <f t="shared" si="3"/>
        <v>45777</v>
      </c>
      <c r="C22" s="32">
        <f t="shared" si="4"/>
        <v>437565.0151769768</v>
      </c>
      <c r="D22" s="32">
        <f>IF(A22&lt;'Loan Input Parameters'!$B$16,'Loan Input Parameters'!$B$24,IF(A22='Loan Input Parameters'!$B$16,'Loan Input Parameters'!$B$24+'Loan Input Parameters'!$B$20,0))</f>
        <v>7931.5630539595995</v>
      </c>
      <c r="E22" s="32">
        <f>IF($A22&lt;'Loan Input Parameters'!$B$16,C22*'Loan Input Parameters'!$B$15/12,"0.00")</f>
        <v>4011.0126391222875</v>
      </c>
      <c r="F22" s="32">
        <f>IF(A22&lt;='Loan Input Parameters'!$B$16,'Loan Input Parameters'!$B$23,0)</f>
        <v>69</v>
      </c>
      <c r="G22" s="32">
        <f>IF($A22&lt;'Loan Input Parameters'!$B$16,D22-E22-F22,"0.00")</f>
        <v>3851.550414837312</v>
      </c>
      <c r="H22" s="32">
        <f>IF($A22&lt;'Loan Input Parameters'!$B$16,C22-G22,"0.00")</f>
        <v>433713.46476213948</v>
      </c>
      <c r="I22" s="45">
        <f>H22/'Loan Input Parameters'!$B$13</f>
        <v>0.86533714033038112</v>
      </c>
      <c r="J22" s="45">
        <f>IF('Loan Input Parameters'!$B$32="Overide",'Loan Input Parameters'!$C$35,'Loan Input Parameters'!$B$35)</f>
        <v>0.15</v>
      </c>
      <c r="K22" s="76" cm="1">
        <f t="array" ref="K22">IF(
AND(MONTH($B22)=1,SUMPRODUCT(--(MONTH($B$4:B22)=1))=1),
K21*(1-22%*J22),
IF(
AND(MONTH($B22)=1,SUMPRODUCT(--(MONTH($B$4:B22)=1))=2),
K21*(1-20%*J22),
IF($A22&lt;13,K21*(1-(J22*4%)),
IF($A22&lt;25,K21*(1-(J22*5%)),K21*(1-J22/12)
)
)
))</f>
        <v>364880.56597337249</v>
      </c>
      <c r="L22" s="76">
        <f>IF(K22*'Loan Input Parameters'!$B$41&lt;'Loan Input Parameters'!$B$42,'Loan Input Parameters'!$B$42,K22*'Loan Input Parameters'!$B$41)</f>
        <v>0</v>
      </c>
      <c r="M22" s="76">
        <f t="shared" si="0"/>
        <v>364880.56597337249</v>
      </c>
      <c r="N22" s="77">
        <f t="shared" si="6"/>
        <v>68832.898788766994</v>
      </c>
      <c r="O22" s="76">
        <f>IF('Loan Input Parameters'!$B$8*3%&lt;=4000,4000,IF('Loan Input Parameters'!$B$8*3%&gt;=18000,18000,'Loan Input Parameters'!$B$8*3%))</f>
        <v>15000</v>
      </c>
      <c r="P22" s="76">
        <f t="shared" si="1"/>
        <v>83832.898788766994</v>
      </c>
    </row>
    <row r="23" spans="1:16" ht="14.4" thickBot="1" x14ac:dyDescent="0.35">
      <c r="A23" s="75">
        <f t="shared" si="2"/>
        <v>20</v>
      </c>
      <c r="B23" s="34">
        <f t="shared" si="3"/>
        <v>45808</v>
      </c>
      <c r="C23" s="32">
        <f t="shared" si="4"/>
        <v>433713.46476213948</v>
      </c>
      <c r="D23" s="32">
        <f>IF(A23&lt;'Loan Input Parameters'!$B$16,'Loan Input Parameters'!$B$24,IF(A23='Loan Input Parameters'!$B$16,'Loan Input Parameters'!$B$24+'Loan Input Parameters'!$B$20,0))</f>
        <v>7931.5630539595995</v>
      </c>
      <c r="E23" s="32">
        <f>IF($A23&lt;'Loan Input Parameters'!$B$16,C23*'Loan Input Parameters'!$B$15/12,"0.00")</f>
        <v>3975.7067603196119</v>
      </c>
      <c r="F23" s="32">
        <f>IF(A23&lt;='Loan Input Parameters'!$B$16,'Loan Input Parameters'!$B$23,0)</f>
        <v>69</v>
      </c>
      <c r="G23" s="32">
        <f>IF($A23&lt;'Loan Input Parameters'!$B$16,D23-E23-F23,"0.00")</f>
        <v>3886.8562936399876</v>
      </c>
      <c r="H23" s="32">
        <f>IF($A23&lt;'Loan Input Parameters'!$B$16,C23-G23,"0.00")</f>
        <v>429826.6084684995</v>
      </c>
      <c r="I23" s="45">
        <f>H23/'Loan Input Parameters'!$B$13</f>
        <v>0.85758215603018606</v>
      </c>
      <c r="J23" s="45">
        <f>IF('Loan Input Parameters'!$B$32="Overide",'Loan Input Parameters'!$C$35,'Loan Input Parameters'!$B$35)</f>
        <v>0.15</v>
      </c>
      <c r="K23" s="76" cm="1">
        <f t="array" ref="K23">IF(
AND(MONTH($B23)=1,SUMPRODUCT(--(MONTH($B$4:B23)=1))=1),
K22*(1-22%*J23),
IF(
AND(MONTH($B23)=1,SUMPRODUCT(--(MONTH($B$4:B23)=1))=2),
K22*(1-20%*J23),
IF($A23&lt;13,K22*(1-(J23*4%)),
IF($A23&lt;25,K22*(1-(J23*5%)),K22*(1-J23/12)
)
)
))</f>
        <v>362143.96172857221</v>
      </c>
      <c r="L23" s="76">
        <f>IF(K23*'Loan Input Parameters'!$B$41&lt;'Loan Input Parameters'!$B$42,'Loan Input Parameters'!$B$42,K23*'Loan Input Parameters'!$B$41)</f>
        <v>0</v>
      </c>
      <c r="M23" s="76">
        <f t="shared" si="0"/>
        <v>362143.96172857221</v>
      </c>
      <c r="N23" s="77">
        <f t="shared" si="6"/>
        <v>67682.646739927295</v>
      </c>
      <c r="O23" s="76">
        <f>IF('Loan Input Parameters'!$B$8*3%&lt;=4000,4000,IF('Loan Input Parameters'!$B$8*3%&gt;=18000,18000,'Loan Input Parameters'!$B$8*3%))</f>
        <v>15000</v>
      </c>
      <c r="P23" s="76">
        <f t="shared" si="1"/>
        <v>82682.646739927295</v>
      </c>
    </row>
    <row r="24" spans="1:16" ht="14.4" thickBot="1" x14ac:dyDescent="0.35">
      <c r="A24" s="75">
        <f t="shared" si="2"/>
        <v>21</v>
      </c>
      <c r="B24" s="34">
        <f t="shared" si="3"/>
        <v>45838</v>
      </c>
      <c r="C24" s="32">
        <f t="shared" si="4"/>
        <v>429826.6084684995</v>
      </c>
      <c r="D24" s="32">
        <f>IF(A24&lt;'Loan Input Parameters'!$B$16,'Loan Input Parameters'!$B$24,IF(A24='Loan Input Parameters'!$B$16,'Loan Input Parameters'!$B$24+'Loan Input Parameters'!$B$20,0))</f>
        <v>7931.5630539595995</v>
      </c>
      <c r="E24" s="32">
        <f>IF($A24&lt;'Loan Input Parameters'!$B$16,C24*'Loan Input Parameters'!$B$15/12,"0.00")</f>
        <v>3940.0772442945786</v>
      </c>
      <c r="F24" s="32">
        <f>IF(A24&lt;='Loan Input Parameters'!$B$16,'Loan Input Parameters'!$B$23,0)</f>
        <v>69</v>
      </c>
      <c r="G24" s="32">
        <f>IF($A24&lt;'Loan Input Parameters'!$B$16,D24-E24-F24,"0.00")</f>
        <v>3922.485809665021</v>
      </c>
      <c r="H24" s="32">
        <f>IF($A24&lt;'Loan Input Parameters'!$B$16,C24-G24,"0.00")</f>
        <v>425904.1226588345</v>
      </c>
      <c r="I24" s="45">
        <f>H24/'Loan Input Parameters'!$B$13</f>
        <v>0.84975608437390604</v>
      </c>
      <c r="J24" s="45">
        <f>IF('Loan Input Parameters'!$B$32="Overide",'Loan Input Parameters'!$C$35,'Loan Input Parameters'!$B$35)</f>
        <v>0.15</v>
      </c>
      <c r="K24" s="76" cm="1">
        <f t="array" ref="K24">IF(
AND(MONTH($B24)=1,SUMPRODUCT(--(MONTH($B$4:B24)=1))=1),
K23*(1-22%*J24),
IF(
AND(MONTH($B24)=1,SUMPRODUCT(--(MONTH($B$4:B24)=1))=2),
K23*(1-20%*J24),
IF($A24&lt;13,K23*(1-(J24*4%)),
IF($A24&lt;25,K23*(1-(J24*5%)),K23*(1-J24/12)
)
)
))</f>
        <v>359427.88201560796</v>
      </c>
      <c r="L24" s="76">
        <f>IF(K24*'Loan Input Parameters'!$B$41&lt;'Loan Input Parameters'!$B$42,'Loan Input Parameters'!$B$42,K24*'Loan Input Parameters'!$B$41)</f>
        <v>0</v>
      </c>
      <c r="M24" s="76">
        <f t="shared" si="0"/>
        <v>359427.88201560796</v>
      </c>
      <c r="N24" s="77">
        <f t="shared" si="6"/>
        <v>66476.240643226542</v>
      </c>
      <c r="O24" s="76">
        <f>IF('Loan Input Parameters'!$B$8*3%&lt;=4000,4000,IF('Loan Input Parameters'!$B$8*3%&gt;=18000,18000,'Loan Input Parameters'!$B$8*3%))</f>
        <v>15000</v>
      </c>
      <c r="P24" s="76">
        <f t="shared" si="1"/>
        <v>81476.240643226542</v>
      </c>
    </row>
    <row r="25" spans="1:16" ht="14.4" thickBot="1" x14ac:dyDescent="0.35">
      <c r="A25" s="75">
        <f t="shared" si="2"/>
        <v>22</v>
      </c>
      <c r="B25" s="34">
        <f t="shared" si="3"/>
        <v>45869</v>
      </c>
      <c r="C25" s="32">
        <f t="shared" si="4"/>
        <v>425904.1226588345</v>
      </c>
      <c r="D25" s="32">
        <f>IF(A25&lt;'Loan Input Parameters'!$B$16,'Loan Input Parameters'!$B$24,IF(A25='Loan Input Parameters'!$B$16,'Loan Input Parameters'!$B$24+'Loan Input Parameters'!$B$20,0))</f>
        <v>7931.5630539595995</v>
      </c>
      <c r="E25" s="32">
        <f>IF($A25&lt;'Loan Input Parameters'!$B$16,C25*'Loan Input Parameters'!$B$15/12,"0.00")</f>
        <v>3904.1211243726498</v>
      </c>
      <c r="F25" s="32">
        <f>IF(A25&lt;='Loan Input Parameters'!$B$16,'Loan Input Parameters'!$B$23,0)</f>
        <v>69</v>
      </c>
      <c r="G25" s="32">
        <f>IF($A25&lt;'Loan Input Parameters'!$B$16,D25-E25-F25,"0.00")</f>
        <v>3958.4419295869498</v>
      </c>
      <c r="H25" s="32">
        <f>IF($A25&lt;'Loan Input Parameters'!$B$16,C25-G25,"0.00")</f>
        <v>421945.68072924757</v>
      </c>
      <c r="I25" s="45">
        <f>H25/'Loan Input Parameters'!$B$13</f>
        <v>0.84185827372744337</v>
      </c>
      <c r="J25" s="45">
        <f>IF('Loan Input Parameters'!$B$32="Overide",'Loan Input Parameters'!$C$35,'Loan Input Parameters'!$B$35)</f>
        <v>0.15</v>
      </c>
      <c r="K25" s="76" cm="1">
        <f t="array" ref="K25">IF(
AND(MONTH($B25)=1,SUMPRODUCT(--(MONTH($B$4:B25)=1))=1),
K24*(1-22%*J25),
IF(
AND(MONTH($B25)=1,SUMPRODUCT(--(MONTH($B$4:B25)=1))=2),
K24*(1-20%*J25),
IF($A25&lt;13,K24*(1-(J25*4%)),
IF($A25&lt;25,K24*(1-(J25*5%)),K24*(1-J25/12)
)
)
))</f>
        <v>356732.17290049093</v>
      </c>
      <c r="L25" s="76">
        <f>IF(K25*'Loan Input Parameters'!$B$41&lt;'Loan Input Parameters'!$B$42,'Loan Input Parameters'!$B$42,K25*'Loan Input Parameters'!$B$41)</f>
        <v>0</v>
      </c>
      <c r="M25" s="76">
        <f t="shared" si="0"/>
        <v>356732.17290049093</v>
      </c>
      <c r="N25" s="77">
        <f t="shared" si="6"/>
        <v>65213.507828756643</v>
      </c>
      <c r="O25" s="76">
        <f>IF('Loan Input Parameters'!$B$8*3%&lt;=4000,4000,IF('Loan Input Parameters'!$B$8*3%&gt;=18000,18000,'Loan Input Parameters'!$B$8*3%))</f>
        <v>15000</v>
      </c>
      <c r="P25" s="76">
        <f t="shared" si="1"/>
        <v>80213.507828756643</v>
      </c>
    </row>
    <row r="26" spans="1:16" ht="14.4" thickBot="1" x14ac:dyDescent="0.35">
      <c r="A26" s="75">
        <f t="shared" si="2"/>
        <v>23</v>
      </c>
      <c r="B26" s="34">
        <f t="shared" si="3"/>
        <v>45900</v>
      </c>
      <c r="C26" s="32">
        <f t="shared" si="4"/>
        <v>421945.68072924757</v>
      </c>
      <c r="D26" s="32">
        <f>IF(A26&lt;'Loan Input Parameters'!$B$16,'Loan Input Parameters'!$B$24,IF(A26='Loan Input Parameters'!$B$16,'Loan Input Parameters'!$B$24+'Loan Input Parameters'!$B$20,0))</f>
        <v>7931.5630539595995</v>
      </c>
      <c r="E26" s="32">
        <f>IF($A26&lt;'Loan Input Parameters'!$B$16,C26*'Loan Input Parameters'!$B$15/12,"0.00")</f>
        <v>3867.8354066847696</v>
      </c>
      <c r="F26" s="32">
        <f>IF(A26&lt;='Loan Input Parameters'!$B$16,'Loan Input Parameters'!$B$23,0)</f>
        <v>69</v>
      </c>
      <c r="G26" s="32">
        <f>IF($A26&lt;'Loan Input Parameters'!$B$16,D26-E26-F26,"0.00")</f>
        <v>3994.7276472748299</v>
      </c>
      <c r="H26" s="32">
        <f>IF($A26&lt;'Loan Input Parameters'!$B$16,C26-G26,"0.00")</f>
        <v>417950.95308197272</v>
      </c>
      <c r="I26" s="45">
        <f>H26/'Loan Input Parameters'!$B$13</f>
        <v>0.83388806648338809</v>
      </c>
      <c r="J26" s="45">
        <f>IF('Loan Input Parameters'!$B$32="Overide",'Loan Input Parameters'!$C$35,'Loan Input Parameters'!$B$35)</f>
        <v>0.15</v>
      </c>
      <c r="K26" s="76" cm="1">
        <f t="array" ref="K26">IF(
AND(MONTH($B26)=1,SUMPRODUCT(--(MONTH($B$4:B26)=1))=1),
K25*(1-22%*J26),
IF(
AND(MONTH($B26)=1,SUMPRODUCT(--(MONTH($B$4:B26)=1))=2),
K25*(1-20%*J26),
IF($A26&lt;13,K25*(1-(J26*4%)),
IF($A26&lt;25,K25*(1-(J26*5%)),K25*(1-J26/12)
)
)
))</f>
        <v>354056.68160373729</v>
      </c>
      <c r="L26" s="76">
        <f>IF(K26*'Loan Input Parameters'!$B$41&lt;'Loan Input Parameters'!$B$42,'Loan Input Parameters'!$B$42,K26*'Loan Input Parameters'!$B$41)</f>
        <v>0</v>
      </c>
      <c r="M26" s="76">
        <f t="shared" si="0"/>
        <v>354056.68160373729</v>
      </c>
      <c r="N26" s="77">
        <f t="shared" si="6"/>
        <v>63894.271478235431</v>
      </c>
      <c r="O26" s="76">
        <f>IF('Loan Input Parameters'!$B$8*3%&lt;=4000,4000,IF('Loan Input Parameters'!$B$8*3%&gt;=18000,18000,'Loan Input Parameters'!$B$8*3%))</f>
        <v>15000</v>
      </c>
      <c r="P26" s="76">
        <f t="shared" si="1"/>
        <v>78894.271478235431</v>
      </c>
    </row>
    <row r="27" spans="1:16" ht="14.4" thickBot="1" x14ac:dyDescent="0.35">
      <c r="A27" s="75">
        <f t="shared" si="2"/>
        <v>24</v>
      </c>
      <c r="B27" s="34">
        <f t="shared" si="3"/>
        <v>45930</v>
      </c>
      <c r="C27" s="32">
        <f t="shared" si="4"/>
        <v>417950.95308197272</v>
      </c>
      <c r="D27" s="32">
        <f>IF(A27&lt;'Loan Input Parameters'!$B$16,'Loan Input Parameters'!$B$24,IF(A27='Loan Input Parameters'!$B$16,'Loan Input Parameters'!$B$24+'Loan Input Parameters'!$B$20,0))</f>
        <v>7931.5630539595995</v>
      </c>
      <c r="E27" s="32">
        <f>IF($A27&lt;'Loan Input Parameters'!$B$16,C27*'Loan Input Parameters'!$B$15/12,"0.00")</f>
        <v>3831.2170699180829</v>
      </c>
      <c r="F27" s="32">
        <f>IF(A27&lt;='Loan Input Parameters'!$B$16,'Loan Input Parameters'!$B$23,0)</f>
        <v>69</v>
      </c>
      <c r="G27" s="32">
        <f>IF($A27&lt;'Loan Input Parameters'!$B$16,D27-E27-F27,"0.00")</f>
        <v>4031.3459840415162</v>
      </c>
      <c r="H27" s="32">
        <f>IF($A27&lt;'Loan Input Parameters'!$B$16,C27-G27,"0.00")</f>
        <v>413919.60709793121</v>
      </c>
      <c r="I27" s="45">
        <f>H27/'Loan Input Parameters'!$B$13</f>
        <v>0.82584479900626229</v>
      </c>
      <c r="J27" s="45">
        <f>IF('Loan Input Parameters'!$B$32="Overide",'Loan Input Parameters'!$C$35,'Loan Input Parameters'!$B$35)</f>
        <v>0.15</v>
      </c>
      <c r="K27" s="76" cm="1">
        <f t="array" ref="K27">IF(
AND(MONTH($B27)=1,SUMPRODUCT(--(MONTH($B$4:B27)=1))=1),
K26*(1-22%*J27),
IF(
AND(MONTH($B27)=1,SUMPRODUCT(--(MONTH($B$4:B27)=1))=2),
K26*(1-20%*J27),
IF($A27&lt;13,K26*(1-(J27*4%)),
IF($A27&lt;25,K26*(1-(J27*5%)),K26*(1-J27/12)
)
)
))</f>
        <v>351401.25649170927</v>
      </c>
      <c r="L27" s="76">
        <f>IF(K27*'Loan Input Parameters'!$B$41&lt;'Loan Input Parameters'!$B$42,'Loan Input Parameters'!$B$42,K27*'Loan Input Parameters'!$B$41)</f>
        <v>0</v>
      </c>
      <c r="M27" s="76">
        <f t="shared" si="0"/>
        <v>351401.25649170927</v>
      </c>
      <c r="N27" s="77">
        <f t="shared" si="6"/>
        <v>62518.350606221939</v>
      </c>
      <c r="O27" s="76">
        <f>IF('Loan Input Parameters'!$B$8*3%&lt;=4000,4000,IF('Loan Input Parameters'!$B$8*3%&gt;=18000,18000,'Loan Input Parameters'!$B$8*3%))</f>
        <v>15000</v>
      </c>
      <c r="P27" s="76">
        <f t="shared" si="1"/>
        <v>77518.350606221939</v>
      </c>
    </row>
    <row r="28" spans="1:16" ht="14.4" thickBot="1" x14ac:dyDescent="0.35">
      <c r="A28" s="75">
        <f t="shared" si="2"/>
        <v>25</v>
      </c>
      <c r="B28" s="34">
        <f t="shared" si="3"/>
        <v>45961</v>
      </c>
      <c r="C28" s="32">
        <f t="shared" si="4"/>
        <v>413919.60709793121</v>
      </c>
      <c r="D28" s="32">
        <f>IF(A28&lt;'Loan Input Parameters'!$B$16,'Loan Input Parameters'!$B$24,IF(A28='Loan Input Parameters'!$B$16,'Loan Input Parameters'!$B$24+'Loan Input Parameters'!$B$20,0))</f>
        <v>7931.5630539595995</v>
      </c>
      <c r="E28" s="32">
        <f>IF($A28&lt;'Loan Input Parameters'!$B$16,C28*'Loan Input Parameters'!$B$15/12,"0.00")</f>
        <v>3794.2630650643696</v>
      </c>
      <c r="F28" s="32">
        <f>IF(A28&lt;='Loan Input Parameters'!$B$16,'Loan Input Parameters'!$B$23,0)</f>
        <v>69</v>
      </c>
      <c r="G28" s="32">
        <f>IF($A28&lt;'Loan Input Parameters'!$B$16,D28-E28-F28,"0.00")</f>
        <v>4068.2999888952299</v>
      </c>
      <c r="H28" s="32">
        <f>IF($A28&lt;'Loan Input Parameters'!$B$16,C28-G28,"0.00")</f>
        <v>409851.30710903596</v>
      </c>
      <c r="I28" s="45">
        <f>H28/'Loan Input Parameters'!$B$13</f>
        <v>0.81772780157726288</v>
      </c>
      <c r="J28" s="45">
        <f>IF('Loan Input Parameters'!$B$32="Overide",'Loan Input Parameters'!$C$36,'Loan Input Parameters'!$B$36)</f>
        <v>0.11</v>
      </c>
      <c r="K28" s="76" cm="1">
        <f t="array" ref="K28">IF(
AND(MONTH($B28)=1,SUMPRODUCT(--(MONTH($B$4:B28)=1))=1),
K27*(1-22%*J28),
IF(
AND(MONTH($B28)=1,SUMPRODUCT(--(MONTH($B$4:B28)=1))=2),
K27*(1-20%*J28),
IF($A28&lt;13,K27*(1-(J28*4%)),
IF($A28&lt;25,K27*(1-(J28*5%)),K27*(1-J28/12)
)
)
))</f>
        <v>348180.07830720191</v>
      </c>
      <c r="L28" s="76">
        <f>IF(K28*'Loan Input Parameters'!$B$41&lt;'Loan Input Parameters'!$B$42,'Loan Input Parameters'!$B$42,K28*'Loan Input Parameters'!$B$41)</f>
        <v>0</v>
      </c>
      <c r="M28" s="76">
        <f t="shared" si="0"/>
        <v>348180.07830720191</v>
      </c>
      <c r="N28" s="77">
        <f t="shared" si="6"/>
        <v>61671.228801834048</v>
      </c>
      <c r="O28" s="76">
        <f>IF('Loan Input Parameters'!$B$8*3%&lt;=4000,4000,IF('Loan Input Parameters'!$B$8*3%&gt;=18000,18000,'Loan Input Parameters'!$B$8*3%))</f>
        <v>15000</v>
      </c>
      <c r="P28" s="76">
        <f t="shared" si="1"/>
        <v>76671.228801834048</v>
      </c>
    </row>
    <row r="29" spans="1:16" ht="14.4" thickBot="1" x14ac:dyDescent="0.35">
      <c r="A29" s="75">
        <f t="shared" si="2"/>
        <v>26</v>
      </c>
      <c r="B29" s="34">
        <f t="shared" si="3"/>
        <v>45991</v>
      </c>
      <c r="C29" s="32">
        <f t="shared" si="4"/>
        <v>409851.30710903596</v>
      </c>
      <c r="D29" s="32">
        <f>IF(A29&lt;'Loan Input Parameters'!$B$16,'Loan Input Parameters'!$B$24,IF(A29='Loan Input Parameters'!$B$16,'Loan Input Parameters'!$B$24+'Loan Input Parameters'!$B$20,0))</f>
        <v>7931.5630539595995</v>
      </c>
      <c r="E29" s="32">
        <f>IF($A29&lt;'Loan Input Parameters'!$B$16,C29*'Loan Input Parameters'!$B$15/12,"0.00")</f>
        <v>3756.9703151661629</v>
      </c>
      <c r="F29" s="32">
        <f>IF(A29&lt;='Loan Input Parameters'!$B$16,'Loan Input Parameters'!$B$23,0)</f>
        <v>69</v>
      </c>
      <c r="G29" s="32">
        <f>IF($A29&lt;'Loan Input Parameters'!$B$16,D29-E29-F29,"0.00")</f>
        <v>4105.5927387934371</v>
      </c>
      <c r="H29" s="32">
        <f>IF($A29&lt;'Loan Input Parameters'!$B$16,C29-G29,"0.00")</f>
        <v>405745.71437024249</v>
      </c>
      <c r="I29" s="45">
        <f>H29/'Loan Input Parameters'!$B$13</f>
        <v>0.80953639833849755</v>
      </c>
      <c r="J29" s="45">
        <f>J28</f>
        <v>0.11</v>
      </c>
      <c r="K29" s="76" cm="1">
        <f t="array" ref="K29">IF(
AND(MONTH($B29)=1,SUMPRODUCT(--(MONTH($B$4:B29)=1))=1),
K28*(1-22%*J29),
IF(
AND(MONTH($B29)=1,SUMPRODUCT(--(MONTH($B$4:B29)=1))=2),
K28*(1-20%*J29),
IF($A29&lt;13,K28*(1-(J29*4%)),
IF($A29&lt;25,K28*(1-(J29*5%)),K28*(1-J29/12)
)
)
))</f>
        <v>344988.42758938589</v>
      </c>
      <c r="L29" s="76">
        <f>IF(K29*'Loan Input Parameters'!$B$41&lt;'Loan Input Parameters'!$B$42,'Loan Input Parameters'!$B$42,K29*'Loan Input Parameters'!$B$41)</f>
        <v>0</v>
      </c>
      <c r="M29" s="76">
        <f t="shared" si="0"/>
        <v>344988.42758938589</v>
      </c>
      <c r="N29" s="77">
        <f t="shared" si="6"/>
        <v>60757.286780856608</v>
      </c>
      <c r="O29" s="76">
        <f>IF('Loan Input Parameters'!$B$8*3%&lt;=4000,4000,IF('Loan Input Parameters'!$B$8*3%&gt;=18000,18000,'Loan Input Parameters'!$B$8*3%))</f>
        <v>15000</v>
      </c>
      <c r="P29" s="76">
        <f t="shared" si="1"/>
        <v>75757.286780856608</v>
      </c>
    </row>
    <row r="30" spans="1:16" ht="14.4" thickBot="1" x14ac:dyDescent="0.35">
      <c r="A30" s="75">
        <f t="shared" si="2"/>
        <v>27</v>
      </c>
      <c r="B30" s="34">
        <f t="shared" si="3"/>
        <v>46022</v>
      </c>
      <c r="C30" s="32">
        <f t="shared" si="4"/>
        <v>405745.71437024249</v>
      </c>
      <c r="D30" s="32">
        <f>IF(A30&lt;'Loan Input Parameters'!$B$16,'Loan Input Parameters'!$B$24,IF(A30='Loan Input Parameters'!$B$16,'Loan Input Parameters'!$B$24+'Loan Input Parameters'!$B$20,0))</f>
        <v>7931.5630539595995</v>
      </c>
      <c r="E30" s="32">
        <f>IF($A30&lt;'Loan Input Parameters'!$B$16,C30*'Loan Input Parameters'!$B$15/12,"0.00")</f>
        <v>3719.3357150605566</v>
      </c>
      <c r="F30" s="32">
        <f>IF(A30&lt;='Loan Input Parameters'!$B$16,'Loan Input Parameters'!$B$23,0)</f>
        <v>69</v>
      </c>
      <c r="G30" s="32">
        <f>IF($A30&lt;'Loan Input Parameters'!$B$16,D30-E30-F30,"0.00")</f>
        <v>4143.2273388990434</v>
      </c>
      <c r="H30" s="32">
        <f>IF($A30&lt;'Loan Input Parameters'!$B$16,C30-G30,"0.00")</f>
        <v>401602.48703134345</v>
      </c>
      <c r="I30" s="45">
        <f>H30/'Loan Input Parameters'!$B$13</f>
        <v>0.80126990723671021</v>
      </c>
      <c r="J30" s="45">
        <f t="shared" ref="J30:J39" si="7">J29</f>
        <v>0.11</v>
      </c>
      <c r="K30" s="76" cm="1">
        <f t="array" ref="K30">IF(
AND(MONTH($B30)=1,SUMPRODUCT(--(MONTH($B$4:B30)=1))=1),
K29*(1-22%*J30),
IF(
AND(MONTH($B30)=1,SUMPRODUCT(--(MONTH($B$4:B30)=1))=2),
K29*(1-20%*J30),
IF($A30&lt;13,K29*(1-(J30*4%)),
IF($A30&lt;25,K29*(1-(J30*5%)),K29*(1-J30/12)
)
)
))</f>
        <v>341826.0336698165</v>
      </c>
      <c r="L30" s="76">
        <f>IF(K30*'Loan Input Parameters'!$B$41&lt;'Loan Input Parameters'!$B$42,'Loan Input Parameters'!$B$42,K30*'Loan Input Parameters'!$B$41)</f>
        <v>0</v>
      </c>
      <c r="M30" s="76">
        <f t="shared" si="0"/>
        <v>341826.0336698165</v>
      </c>
      <c r="N30" s="77">
        <f t="shared" si="6"/>
        <v>59776.453361526947</v>
      </c>
      <c r="O30" s="76">
        <f>IF('Loan Input Parameters'!$B$8*3%&lt;=4000,4000,IF('Loan Input Parameters'!$B$8*3%&gt;=18000,18000,'Loan Input Parameters'!$B$8*3%))</f>
        <v>15000</v>
      </c>
      <c r="P30" s="76">
        <f t="shared" si="1"/>
        <v>74776.453361526947</v>
      </c>
    </row>
    <row r="31" spans="1:16" ht="14.4" thickBot="1" x14ac:dyDescent="0.35">
      <c r="A31" s="75">
        <f t="shared" si="2"/>
        <v>28</v>
      </c>
      <c r="B31" s="34">
        <f t="shared" si="3"/>
        <v>46053</v>
      </c>
      <c r="C31" s="32">
        <f t="shared" si="4"/>
        <v>401602.48703134345</v>
      </c>
      <c r="D31" s="32">
        <f>IF(A31&lt;'Loan Input Parameters'!$B$16,'Loan Input Parameters'!$B$24,IF(A31='Loan Input Parameters'!$B$16,'Loan Input Parameters'!$B$24+'Loan Input Parameters'!$B$20,0))</f>
        <v>7931.5630539595995</v>
      </c>
      <c r="E31" s="32">
        <f>IF($A31&lt;'Loan Input Parameters'!$B$16,C31*'Loan Input Parameters'!$B$15/12,"0.00")</f>
        <v>3681.3561311206486</v>
      </c>
      <c r="F31" s="32">
        <f>IF(A31&lt;='Loan Input Parameters'!$B$16,'Loan Input Parameters'!$B$23,0)</f>
        <v>69</v>
      </c>
      <c r="G31" s="32">
        <f>IF($A31&lt;'Loan Input Parameters'!$B$16,D31-E31-F31,"0.00")</f>
        <v>4181.206922838951</v>
      </c>
      <c r="H31" s="32">
        <f>IF($A31&lt;'Loan Input Parameters'!$B$16,C31-G31,"0.00")</f>
        <v>397421.28010850452</v>
      </c>
      <c r="I31" s="45">
        <f>H31/'Loan Input Parameters'!$B$13</f>
        <v>0.79292763996648996</v>
      </c>
      <c r="J31" s="45">
        <f t="shared" si="7"/>
        <v>0.11</v>
      </c>
      <c r="K31" s="76" cm="1">
        <f t="array" ref="K31">IF(
AND(MONTH($B31)=1,SUMPRODUCT(--(MONTH($B$4:B31)=1))=1),
K30*(1-22%*J31),
IF(
AND(MONTH($B31)=1,SUMPRODUCT(--(MONTH($B$4:B31)=1))=2),
K30*(1-20%*J31),
IF($A31&lt;13,K30*(1-(J31*4%)),
IF($A31&lt;25,K30*(1-(J31*5%)),K30*(1-J31/12)
)
)
))</f>
        <v>338692.62836117652</v>
      </c>
      <c r="L31" s="76">
        <f>IF(K31*'Loan Input Parameters'!$B$41&lt;'Loan Input Parameters'!$B$42,'Loan Input Parameters'!$B$42,K31*'Loan Input Parameters'!$B$41)</f>
        <v>0</v>
      </c>
      <c r="M31" s="76">
        <f t="shared" si="0"/>
        <v>338692.62836117652</v>
      </c>
      <c r="N31" s="77">
        <f t="shared" si="6"/>
        <v>58728.651747327996</v>
      </c>
      <c r="O31" s="76">
        <f>IF('Loan Input Parameters'!$B$8*3%&lt;=4000,4000,IF('Loan Input Parameters'!$B$8*3%&gt;=18000,18000,'Loan Input Parameters'!$B$8*3%))</f>
        <v>15000</v>
      </c>
      <c r="P31" s="76">
        <f t="shared" si="1"/>
        <v>73728.651747327996</v>
      </c>
    </row>
    <row r="32" spans="1:16" ht="14.4" thickBot="1" x14ac:dyDescent="0.35">
      <c r="A32" s="75">
        <f t="shared" si="2"/>
        <v>29</v>
      </c>
      <c r="B32" s="34">
        <f t="shared" si="3"/>
        <v>46081</v>
      </c>
      <c r="C32" s="32">
        <f t="shared" si="4"/>
        <v>397421.28010850452</v>
      </c>
      <c r="D32" s="32">
        <f>IF(A32&lt;'Loan Input Parameters'!$B$16,'Loan Input Parameters'!$B$24,IF(A32='Loan Input Parameters'!$B$16,'Loan Input Parameters'!$B$24+'Loan Input Parameters'!$B$20,0))</f>
        <v>7931.5630539595995</v>
      </c>
      <c r="E32" s="32">
        <f>IF($A32&lt;'Loan Input Parameters'!$B$16,C32*'Loan Input Parameters'!$B$15/12,"0.00")</f>
        <v>3643.0284009946249</v>
      </c>
      <c r="F32" s="32">
        <f>IF(A32&lt;='Loan Input Parameters'!$B$16,'Loan Input Parameters'!$B$23,0)</f>
        <v>69</v>
      </c>
      <c r="G32" s="32">
        <f>IF($A32&lt;'Loan Input Parameters'!$B$16,D32-E32-F32,"0.00")</f>
        <v>4219.5346529649742</v>
      </c>
      <c r="H32" s="32">
        <f>IF($A32&lt;'Loan Input Parameters'!$B$16,C32-G32,"0.00")</f>
        <v>393201.74545553955</v>
      </c>
      <c r="I32" s="45">
        <f>H32/'Loan Input Parameters'!$B$13</f>
        <v>0.7845089019129593</v>
      </c>
      <c r="J32" s="45">
        <f t="shared" si="7"/>
        <v>0.11</v>
      </c>
      <c r="K32" s="76" cm="1">
        <f t="array" ref="K32">IF(
AND(MONTH($B32)=1,SUMPRODUCT(--(MONTH($B$4:B32)=1))=1),
K31*(1-22%*J32),
IF(
AND(MONTH($B32)=1,SUMPRODUCT(--(MONTH($B$4:B32)=1))=2),
K31*(1-20%*J32),
IF($A32&lt;13,K31*(1-(J32*4%)),
IF($A32&lt;25,K31*(1-(J32*5%)),K31*(1-J32/12)
)
)
))</f>
        <v>335587.94593453238</v>
      </c>
      <c r="L32" s="76">
        <f>IF(K32*'Loan Input Parameters'!$B$41&lt;'Loan Input Parameters'!$B$42,'Loan Input Parameters'!$B$42,K32*'Loan Input Parameters'!$B$41)</f>
        <v>0</v>
      </c>
      <c r="M32" s="76">
        <f t="shared" si="0"/>
        <v>335587.94593453238</v>
      </c>
      <c r="N32" s="77">
        <f t="shared" si="6"/>
        <v>57613.799521007168</v>
      </c>
      <c r="O32" s="76">
        <f>IF('Loan Input Parameters'!$B$8*3%&lt;=4000,4000,IF('Loan Input Parameters'!$B$8*3%&gt;=18000,18000,'Loan Input Parameters'!$B$8*3%))</f>
        <v>15000</v>
      </c>
      <c r="P32" s="76">
        <f t="shared" si="1"/>
        <v>72613.799521007168</v>
      </c>
    </row>
    <row r="33" spans="1:16" ht="14.4" thickBot="1" x14ac:dyDescent="0.35">
      <c r="A33" s="75">
        <f t="shared" si="2"/>
        <v>30</v>
      </c>
      <c r="B33" s="34">
        <f t="shared" si="3"/>
        <v>46112</v>
      </c>
      <c r="C33" s="32">
        <f t="shared" si="4"/>
        <v>393201.74545553955</v>
      </c>
      <c r="D33" s="32">
        <f>IF(A33&lt;'Loan Input Parameters'!$B$16,'Loan Input Parameters'!$B$24,IF(A33='Loan Input Parameters'!$B$16,'Loan Input Parameters'!$B$24+'Loan Input Parameters'!$B$20,0))</f>
        <v>7931.5630539595995</v>
      </c>
      <c r="E33" s="32">
        <f>IF($A33&lt;'Loan Input Parameters'!$B$16,C33*'Loan Input Parameters'!$B$15/12,"0.00")</f>
        <v>3604.3493333424462</v>
      </c>
      <c r="F33" s="32">
        <f>IF(A33&lt;='Loan Input Parameters'!$B$16,'Loan Input Parameters'!$B$23,0)</f>
        <v>69</v>
      </c>
      <c r="G33" s="32">
        <f>IF($A33&lt;'Loan Input Parameters'!$B$16,D33-E33-F33,"0.00")</f>
        <v>4258.2137206171537</v>
      </c>
      <c r="H33" s="32">
        <f>IF($A33&lt;'Loan Input Parameters'!$B$16,C33-G33,"0.00")</f>
        <v>388943.53173492238</v>
      </c>
      <c r="I33" s="45">
        <f>H33/'Loan Input Parameters'!$B$13</f>
        <v>0.77601299209393793</v>
      </c>
      <c r="J33" s="45">
        <f t="shared" si="7"/>
        <v>0.11</v>
      </c>
      <c r="K33" s="76" cm="1">
        <f t="array" ref="K33">IF(
AND(MONTH($B33)=1,SUMPRODUCT(--(MONTH($B$4:B33)=1))=1),
K32*(1-22%*J33),
IF(
AND(MONTH($B33)=1,SUMPRODUCT(--(MONTH($B$4:B33)=1))=2),
K32*(1-20%*J33),
IF($A33&lt;13,K32*(1-(J33*4%)),
IF($A33&lt;25,K32*(1-(J33*5%)),K32*(1-J33/12)
)
)
))</f>
        <v>332511.72309679916</v>
      </c>
      <c r="L33" s="76">
        <f>IF(K33*'Loan Input Parameters'!$B$41&lt;'Loan Input Parameters'!$B$42,'Loan Input Parameters'!$B$42,K33*'Loan Input Parameters'!$B$41)</f>
        <v>0</v>
      </c>
      <c r="M33" s="76">
        <f t="shared" si="0"/>
        <v>332511.72309679916</v>
      </c>
      <c r="N33" s="77">
        <f t="shared" si="6"/>
        <v>56431.808638123213</v>
      </c>
      <c r="O33" s="76">
        <f>IF('Loan Input Parameters'!$B$8*3%&lt;=4000,4000,IF('Loan Input Parameters'!$B$8*3%&gt;=18000,18000,'Loan Input Parameters'!$B$8*3%))</f>
        <v>15000</v>
      </c>
      <c r="P33" s="76">
        <f t="shared" si="1"/>
        <v>71431.808638123213</v>
      </c>
    </row>
    <row r="34" spans="1:16" ht="14.4" thickBot="1" x14ac:dyDescent="0.35">
      <c r="A34" s="75">
        <f t="shared" si="2"/>
        <v>31</v>
      </c>
      <c r="B34" s="34">
        <f t="shared" si="3"/>
        <v>46142</v>
      </c>
      <c r="C34" s="32">
        <f t="shared" si="4"/>
        <v>388943.53173492238</v>
      </c>
      <c r="D34" s="32">
        <f>IF(A34&lt;'Loan Input Parameters'!$B$16,'Loan Input Parameters'!$B$24,IF(A34='Loan Input Parameters'!$B$16,'Loan Input Parameters'!$B$24+'Loan Input Parameters'!$B$20,0))</f>
        <v>7931.5630539595995</v>
      </c>
      <c r="E34" s="32">
        <f>IF($A34&lt;'Loan Input Parameters'!$B$16,C34*'Loan Input Parameters'!$B$15/12,"0.00")</f>
        <v>3565.315707570122</v>
      </c>
      <c r="F34" s="32">
        <f>IF(A34&lt;='Loan Input Parameters'!$B$16,'Loan Input Parameters'!$B$23,0)</f>
        <v>69</v>
      </c>
      <c r="G34" s="32">
        <f>IF($A34&lt;'Loan Input Parameters'!$B$16,D34-E34-F34,"0.00")</f>
        <v>4297.2473463894776</v>
      </c>
      <c r="H34" s="32">
        <f>IF($A34&lt;'Loan Input Parameters'!$B$16,C34-G34,"0.00")</f>
        <v>384646.28438853292</v>
      </c>
      <c r="I34" s="45">
        <f>H34/'Loan Input Parameters'!$B$13</f>
        <v>0.76743920310157554</v>
      </c>
      <c r="J34" s="45">
        <f t="shared" si="7"/>
        <v>0.11</v>
      </c>
      <c r="K34" s="76" cm="1">
        <f t="array" ref="K34">IF(
AND(MONTH($B34)=1,SUMPRODUCT(--(MONTH($B$4:B34)=1))=1),
K33*(1-22%*J34),
IF(
AND(MONTH($B34)=1,SUMPRODUCT(--(MONTH($B$4:B34)=1))=2),
K33*(1-20%*J34),
IF($A34&lt;13,K33*(1-(J34*4%)),
IF($A34&lt;25,K33*(1-(J34*5%)),K33*(1-J34/12)
)
)
))</f>
        <v>329463.69896841183</v>
      </c>
      <c r="L34" s="76">
        <f>IF(K34*'Loan Input Parameters'!$B$41&lt;'Loan Input Parameters'!$B$42,'Loan Input Parameters'!$B$42,K34*'Loan Input Parameters'!$B$41)</f>
        <v>0</v>
      </c>
      <c r="M34" s="76">
        <f t="shared" si="0"/>
        <v>329463.69896841183</v>
      </c>
      <c r="N34" s="77">
        <f t="shared" si="6"/>
        <v>55182.58542012109</v>
      </c>
      <c r="O34" s="76">
        <f>IF('Loan Input Parameters'!$B$8*3%&lt;=4000,4000,IF('Loan Input Parameters'!$B$8*3%&gt;=18000,18000,'Loan Input Parameters'!$B$8*3%))</f>
        <v>15000</v>
      </c>
      <c r="P34" s="76">
        <f t="shared" si="1"/>
        <v>70182.58542012109</v>
      </c>
    </row>
    <row r="35" spans="1:16" ht="14.4" thickBot="1" x14ac:dyDescent="0.35">
      <c r="A35" s="75">
        <f t="shared" si="2"/>
        <v>32</v>
      </c>
      <c r="B35" s="34">
        <f t="shared" si="3"/>
        <v>46173</v>
      </c>
      <c r="C35" s="32">
        <f t="shared" si="4"/>
        <v>384646.28438853292</v>
      </c>
      <c r="D35" s="32">
        <f>IF(A35&lt;'Loan Input Parameters'!$B$16,'Loan Input Parameters'!$B$24,IF(A35='Loan Input Parameters'!$B$16,'Loan Input Parameters'!$B$24+'Loan Input Parameters'!$B$20,0))</f>
        <v>7931.5630539595995</v>
      </c>
      <c r="E35" s="32">
        <f>IF($A35&lt;'Loan Input Parameters'!$B$16,C35*'Loan Input Parameters'!$B$15/12,"0.00")</f>
        <v>3525.9242735615517</v>
      </c>
      <c r="F35" s="32">
        <f>IF(A35&lt;='Loan Input Parameters'!$B$16,'Loan Input Parameters'!$B$23,0)</f>
        <v>69</v>
      </c>
      <c r="G35" s="32">
        <f>IF($A35&lt;'Loan Input Parameters'!$B$16,D35-E35-F35,"0.00")</f>
        <v>4336.6387803980479</v>
      </c>
      <c r="H35" s="32">
        <f>IF($A35&lt;'Loan Input Parameters'!$B$16,C35-G35,"0.00")</f>
        <v>380309.64560813486</v>
      </c>
      <c r="I35" s="45">
        <f>H35/'Loan Input Parameters'!$B$13</f>
        <v>0.75878682104344974</v>
      </c>
      <c r="J35" s="45">
        <f t="shared" si="7"/>
        <v>0.11</v>
      </c>
      <c r="K35" s="76" cm="1">
        <f t="array" ref="K35">IF(
AND(MONTH($B35)=1,SUMPRODUCT(--(MONTH($B$4:B35)=1))=1),
K34*(1-22%*J35),
IF(
AND(MONTH($B35)=1,SUMPRODUCT(--(MONTH($B$4:B35)=1))=2),
K34*(1-20%*J35),
IF($A35&lt;13,K34*(1-(J35*4%)),
IF($A35&lt;25,K34*(1-(J35*5%)),K34*(1-J35/12)
)
)
))</f>
        <v>326443.61506120139</v>
      </c>
      <c r="L35" s="76">
        <f>IF(K35*'Loan Input Parameters'!$B$41&lt;'Loan Input Parameters'!$B$42,'Loan Input Parameters'!$B$42,K35*'Loan Input Parameters'!$B$41)</f>
        <v>0</v>
      </c>
      <c r="M35" s="76">
        <f t="shared" si="0"/>
        <v>326443.61506120139</v>
      </c>
      <c r="N35" s="77">
        <f t="shared" si="6"/>
        <v>53866.030546933471</v>
      </c>
      <c r="O35" s="76">
        <f>IF('Loan Input Parameters'!$B$8*3%&lt;=4000,4000,IF('Loan Input Parameters'!$B$8*3%&gt;=18000,18000,'Loan Input Parameters'!$B$8*3%))</f>
        <v>15000</v>
      </c>
      <c r="P35" s="76">
        <f t="shared" si="1"/>
        <v>68866.030546933471</v>
      </c>
    </row>
    <row r="36" spans="1:16" ht="14.4" thickBot="1" x14ac:dyDescent="0.35">
      <c r="A36" s="75">
        <f t="shared" si="2"/>
        <v>33</v>
      </c>
      <c r="B36" s="34">
        <f t="shared" si="3"/>
        <v>46203</v>
      </c>
      <c r="C36" s="32">
        <f t="shared" si="4"/>
        <v>380309.64560813486</v>
      </c>
      <c r="D36" s="32">
        <f>IF(A36&lt;'Loan Input Parameters'!$B$16,'Loan Input Parameters'!$B$24,IF(A36='Loan Input Parameters'!$B$16,'Loan Input Parameters'!$B$24+'Loan Input Parameters'!$B$20,0))</f>
        <v>7931.5630539595995</v>
      </c>
      <c r="E36" s="32">
        <f>IF($A36&lt;'Loan Input Parameters'!$B$16,C36*'Loan Input Parameters'!$B$15/12,"0.00")</f>
        <v>3486.1717514079028</v>
      </c>
      <c r="F36" s="32">
        <f>IF(A36&lt;='Loan Input Parameters'!$B$16,'Loan Input Parameters'!$B$23,0)</f>
        <v>69</v>
      </c>
      <c r="G36" s="32">
        <f>IF($A36&lt;'Loan Input Parameters'!$B$16,D36-E36-F36,"0.00")</f>
        <v>4376.3913025516968</v>
      </c>
      <c r="H36" s="32">
        <f>IF($A36&lt;'Loan Input Parameters'!$B$16,C36-G36,"0.00")</f>
        <v>375933.25430558313</v>
      </c>
      <c r="I36" s="45">
        <f>H36/'Loan Input Parameters'!$B$13</f>
        <v>0.75005512548312447</v>
      </c>
      <c r="J36" s="45">
        <f t="shared" si="7"/>
        <v>0.11</v>
      </c>
      <c r="K36" s="76" cm="1">
        <f t="array" ref="K36">IF(
AND(MONTH($B36)=1,SUMPRODUCT(--(MONTH($B$4:B36)=1))=1),
K35*(1-22%*J36),
IF(
AND(MONTH($B36)=1,SUMPRODUCT(--(MONTH($B$4:B36)=1))=2),
K35*(1-20%*J36),
IF($A36&lt;13,K35*(1-(J36*4%)),
IF($A36&lt;25,K35*(1-(J36*5%)),K35*(1-J36/12)
)
)
))</f>
        <v>323451.21525647369</v>
      </c>
      <c r="L36" s="76">
        <f>IF(K36*'Loan Input Parameters'!$B$41&lt;'Loan Input Parameters'!$B$42,'Loan Input Parameters'!$B$42,K36*'Loan Input Parameters'!$B$41)</f>
        <v>0</v>
      </c>
      <c r="M36" s="76">
        <f t="shared" si="0"/>
        <v>323451.21525647369</v>
      </c>
      <c r="N36" s="77">
        <f t="shared" si="6"/>
        <v>52482.039049109444</v>
      </c>
      <c r="O36" s="76">
        <f>IF('Loan Input Parameters'!$B$8*3%&lt;=4000,4000,IF('Loan Input Parameters'!$B$8*3%&gt;=18000,18000,'Loan Input Parameters'!$B$8*3%))</f>
        <v>15000</v>
      </c>
      <c r="P36" s="76">
        <f t="shared" si="1"/>
        <v>67482.039049109444</v>
      </c>
    </row>
    <row r="37" spans="1:16" ht="14.4" thickBot="1" x14ac:dyDescent="0.35">
      <c r="A37" s="75">
        <f t="shared" si="2"/>
        <v>34</v>
      </c>
      <c r="B37" s="34">
        <f t="shared" si="3"/>
        <v>46234</v>
      </c>
      <c r="C37" s="32">
        <f t="shared" si="4"/>
        <v>375933.25430558313</v>
      </c>
      <c r="D37" s="32">
        <f>IF(A37&lt;'Loan Input Parameters'!$B$16,'Loan Input Parameters'!$B$24,IF(A37='Loan Input Parameters'!$B$16,'Loan Input Parameters'!$B$24+'Loan Input Parameters'!$B$20,0))</f>
        <v>7931.5630539595995</v>
      </c>
      <c r="E37" s="32">
        <f>IF($A37&lt;'Loan Input Parameters'!$B$16,C37*'Loan Input Parameters'!$B$15/12,"0.00")</f>
        <v>3446.0548311345119</v>
      </c>
      <c r="F37" s="32">
        <f>IF(A37&lt;='Loan Input Parameters'!$B$16,'Loan Input Parameters'!$B$23,0)</f>
        <v>69</v>
      </c>
      <c r="G37" s="32">
        <f>IF($A37&lt;'Loan Input Parameters'!$B$16,D37-E37-F37,"0.00")</f>
        <v>4416.5082228250876</v>
      </c>
      <c r="H37" s="32">
        <f>IF($A37&lt;'Loan Input Parameters'!$B$16,C37-G37,"0.00")</f>
        <v>371516.74608275807</v>
      </c>
      <c r="I37" s="45">
        <f>H37/'Loan Input Parameters'!$B$13</f>
        <v>0.74124338938016299</v>
      </c>
      <c r="J37" s="45">
        <f t="shared" si="7"/>
        <v>0.11</v>
      </c>
      <c r="K37" s="76" cm="1">
        <f t="array" ref="K37">IF(
AND(MONTH($B37)=1,SUMPRODUCT(--(MONTH($B$4:B37)=1))=1),
K36*(1-22%*J37),
IF(
AND(MONTH($B37)=1,SUMPRODUCT(--(MONTH($B$4:B37)=1))=2),
K36*(1-20%*J37),
IF($A37&lt;13,K36*(1-(J37*4%)),
IF($A37&lt;25,K36*(1-(J37*5%)),K36*(1-J37/12)
)
)
))</f>
        <v>320486.24578328937</v>
      </c>
      <c r="L37" s="76">
        <f>IF(K37*'Loan Input Parameters'!$B$41&lt;'Loan Input Parameters'!$B$42,'Loan Input Parameters'!$B$42,K37*'Loan Input Parameters'!$B$41)</f>
        <v>0</v>
      </c>
      <c r="M37" s="76">
        <f t="shared" si="0"/>
        <v>320486.24578328937</v>
      </c>
      <c r="N37" s="77">
        <f t="shared" si="6"/>
        <v>51030.500299468695</v>
      </c>
      <c r="O37" s="76">
        <f>IF('Loan Input Parameters'!$B$8*3%&lt;=4000,4000,IF('Loan Input Parameters'!$B$8*3%&gt;=18000,18000,'Loan Input Parameters'!$B$8*3%))</f>
        <v>15000</v>
      </c>
      <c r="P37" s="76">
        <f t="shared" si="1"/>
        <v>66030.500299468695</v>
      </c>
    </row>
    <row r="38" spans="1:16" ht="14.4" thickBot="1" x14ac:dyDescent="0.35">
      <c r="A38" s="75">
        <f t="shared" si="2"/>
        <v>35</v>
      </c>
      <c r="B38" s="34">
        <f t="shared" si="3"/>
        <v>46265</v>
      </c>
      <c r="C38" s="32">
        <f t="shared" si="4"/>
        <v>371516.74608275807</v>
      </c>
      <c r="D38" s="32">
        <f>IF(A38&lt;'Loan Input Parameters'!$B$16,'Loan Input Parameters'!$B$24,IF(A38='Loan Input Parameters'!$B$16,'Loan Input Parameters'!$B$24+'Loan Input Parameters'!$B$20,0))</f>
        <v>7931.5630539595995</v>
      </c>
      <c r="E38" s="32">
        <f>IF($A38&lt;'Loan Input Parameters'!$B$16,C38*'Loan Input Parameters'!$B$15/12,"0.00")</f>
        <v>3405.5701724252826</v>
      </c>
      <c r="F38" s="32">
        <f>IF(A38&lt;='Loan Input Parameters'!$B$16,'Loan Input Parameters'!$B$23,0)</f>
        <v>69</v>
      </c>
      <c r="G38" s="32">
        <f>IF($A38&lt;'Loan Input Parameters'!$B$16,D38-E38-F38,"0.00")</f>
        <v>4456.9928815343173</v>
      </c>
      <c r="H38" s="32">
        <f>IF($A38&lt;'Loan Input Parameters'!$B$16,C38-G38,"0.00")</f>
        <v>367059.75320122374</v>
      </c>
      <c r="I38" s="45">
        <f>H38/'Loan Input Parameters'!$B$13</f>
        <v>0.73235087902959106</v>
      </c>
      <c r="J38" s="45">
        <f t="shared" si="7"/>
        <v>0.11</v>
      </c>
      <c r="K38" s="76" cm="1">
        <f t="array" ref="K38">IF(
AND(MONTH($B38)=1,SUMPRODUCT(--(MONTH($B$4:B38)=1))=1),
K37*(1-22%*J38),
IF(
AND(MONTH($B38)=1,SUMPRODUCT(--(MONTH($B$4:B38)=1))=2),
K37*(1-20%*J38),
IF($A38&lt;13,K37*(1-(J38*4%)),
IF($A38&lt;25,K37*(1-(J38*5%)),K37*(1-J38/12)
)
)
))</f>
        <v>317548.45519694255</v>
      </c>
      <c r="L38" s="76">
        <f>IF(K38*'Loan Input Parameters'!$B$41&lt;'Loan Input Parameters'!$B$42,'Loan Input Parameters'!$B$42,K38*'Loan Input Parameters'!$B$41)</f>
        <v>0</v>
      </c>
      <c r="M38" s="76">
        <f t="shared" si="0"/>
        <v>317548.45519694255</v>
      </c>
      <c r="N38" s="77">
        <f t="shared" si="6"/>
        <v>49511.298004281183</v>
      </c>
      <c r="O38" s="76">
        <f>IF('Loan Input Parameters'!$B$8*3%&lt;=4000,4000,IF('Loan Input Parameters'!$B$8*3%&gt;=18000,18000,'Loan Input Parameters'!$B$8*3%))</f>
        <v>15000</v>
      </c>
      <c r="P38" s="76">
        <f t="shared" si="1"/>
        <v>64511.298004281183</v>
      </c>
    </row>
    <row r="39" spans="1:16" ht="14.4" thickBot="1" x14ac:dyDescent="0.35">
      <c r="A39" s="75">
        <f t="shared" si="2"/>
        <v>36</v>
      </c>
      <c r="B39" s="34">
        <f t="shared" si="3"/>
        <v>46295</v>
      </c>
      <c r="C39" s="32">
        <f t="shared" si="4"/>
        <v>367059.75320122374</v>
      </c>
      <c r="D39" s="32">
        <f>IF(A39&lt;'Loan Input Parameters'!$B$16,'Loan Input Parameters'!$B$24,IF(A39='Loan Input Parameters'!$B$16,'Loan Input Parameters'!$B$24+'Loan Input Parameters'!$B$20,0))</f>
        <v>7931.5630539595995</v>
      </c>
      <c r="E39" s="32">
        <f>IF($A39&lt;'Loan Input Parameters'!$B$16,C39*'Loan Input Parameters'!$B$15/12,"0.00")</f>
        <v>3364.714404344551</v>
      </c>
      <c r="F39" s="32">
        <f>IF(A39&lt;='Loan Input Parameters'!$B$16,'Loan Input Parameters'!$B$23,0)</f>
        <v>69</v>
      </c>
      <c r="G39" s="32">
        <f>IF($A39&lt;'Loan Input Parameters'!$B$16,D39-E39-F39,"0.00")</f>
        <v>4497.848649615049</v>
      </c>
      <c r="H39" s="32">
        <f>IF($A39&lt;'Loan Input Parameters'!$B$16,C39-G39,"0.00")</f>
        <v>362561.90455160866</v>
      </c>
      <c r="I39" s="45">
        <f>H39/'Loan Input Parameters'!$B$13</f>
        <v>0.72337685400080542</v>
      </c>
      <c r="J39" s="45">
        <f t="shared" si="7"/>
        <v>0.11</v>
      </c>
      <c r="K39" s="76" cm="1">
        <f t="array" ref="K39">IF(
AND(MONTH($B39)=1,SUMPRODUCT(--(MONTH($B$4:B39)=1))=1),
K38*(1-22%*J39),
IF(
AND(MONTH($B39)=1,SUMPRODUCT(--(MONTH($B$4:B39)=1))=2),
K38*(1-20%*J39),
IF($A39&lt;13,K38*(1-(J39*4%)),
IF($A39&lt;25,K38*(1-(J39*5%)),K38*(1-J39/12)
)
)
))</f>
        <v>314637.59435763722</v>
      </c>
      <c r="L39" s="76">
        <f>IF(K39*'Loan Input Parameters'!$B$41&lt;'Loan Input Parameters'!$B$42,'Loan Input Parameters'!$B$42,K39*'Loan Input Parameters'!$B$41)</f>
        <v>0</v>
      </c>
      <c r="M39" s="76">
        <f t="shared" si="0"/>
        <v>314637.59435763722</v>
      </c>
      <c r="N39" s="77">
        <f t="shared" si="6"/>
        <v>47924.31019397144</v>
      </c>
      <c r="O39" s="76">
        <f>IF('Loan Input Parameters'!$B$8*3%&lt;=4000,4000,IF('Loan Input Parameters'!$B$8*3%&gt;=18000,18000,'Loan Input Parameters'!$B$8*3%))</f>
        <v>15000</v>
      </c>
      <c r="P39" s="76">
        <f t="shared" si="1"/>
        <v>62924.31019397144</v>
      </c>
    </row>
    <row r="40" spans="1:16" ht="14.4" thickBot="1" x14ac:dyDescent="0.35">
      <c r="A40" s="75">
        <f t="shared" si="2"/>
        <v>37</v>
      </c>
      <c r="B40" s="34">
        <f t="shared" si="3"/>
        <v>46326</v>
      </c>
      <c r="C40" s="32">
        <f t="shared" si="4"/>
        <v>362561.90455160866</v>
      </c>
      <c r="D40" s="32">
        <f>IF(A40&lt;'Loan Input Parameters'!$B$16,'Loan Input Parameters'!$B$24,IF(A40='Loan Input Parameters'!$B$16,'Loan Input Parameters'!$B$24+'Loan Input Parameters'!$B$20,0))</f>
        <v>7931.5630539595995</v>
      </c>
      <c r="E40" s="32">
        <f>IF($A40&lt;'Loan Input Parameters'!$B$16,C40*'Loan Input Parameters'!$B$15/12,"0.00")</f>
        <v>3323.4841250564127</v>
      </c>
      <c r="F40" s="32">
        <f>IF(A40&lt;='Loan Input Parameters'!$B$16,'Loan Input Parameters'!$B$23,0)</f>
        <v>69</v>
      </c>
      <c r="G40" s="32">
        <f>IF($A40&lt;'Loan Input Parameters'!$B$16,D40-E40-F40,"0.00")</f>
        <v>4539.0789289031873</v>
      </c>
      <c r="H40" s="32">
        <f>IF($A40&lt;'Loan Input Parameters'!$B$16,C40-G40,"0.00")</f>
        <v>358022.82562270545</v>
      </c>
      <c r="I40" s="45">
        <f>H40/'Loan Input Parameters'!$B$13</f>
        <v>0.71432056707592251</v>
      </c>
      <c r="J40" s="45">
        <f>IF('Loan Input Parameters'!$B$32="Overide",'Loan Input Parameters'!$C$37,'Loan Input Parameters'!$B$37)</f>
        <v>0.11</v>
      </c>
      <c r="K40" s="76" cm="1">
        <f t="array" ref="K40">IF(
AND(MONTH($B40)=1,SUMPRODUCT(--(MONTH($B$4:B40)=1))=1),
K39*(1-22%*J40),
IF(
AND(MONTH($B40)=1,SUMPRODUCT(--(MONTH($B$4:B40)=1))=2),
K39*(1-20%*J40),
IF($A40&lt;13,K39*(1-(J40*4%)),
IF($A40&lt;25,K39*(1-(J40*5%)),K39*(1-J40/12)
)
)
))</f>
        <v>311753.41640935891</v>
      </c>
      <c r="L40" s="76">
        <f>IF(K40*'Loan Input Parameters'!$B$41&lt;'Loan Input Parameters'!$B$42,'Loan Input Parameters'!$B$42,K40*'Loan Input Parameters'!$B$41)</f>
        <v>0</v>
      </c>
      <c r="M40" s="76">
        <f t="shared" si="0"/>
        <v>311753.41640935891</v>
      </c>
      <c r="N40" s="77">
        <f t="shared" si="6"/>
        <v>46269.409213346546</v>
      </c>
      <c r="O40" s="76">
        <f>IF('Loan Input Parameters'!$B$8*3%&lt;=4000,4000,IF('Loan Input Parameters'!$B$8*3%&gt;=18000,18000,'Loan Input Parameters'!$B$8*3%))</f>
        <v>15000</v>
      </c>
      <c r="P40" s="76">
        <f t="shared" si="1"/>
        <v>61269.409213346546</v>
      </c>
    </row>
    <row r="41" spans="1:16" ht="14.4" thickBot="1" x14ac:dyDescent="0.35">
      <c r="A41" s="75">
        <f t="shared" si="2"/>
        <v>38</v>
      </c>
      <c r="B41" s="34">
        <f t="shared" si="3"/>
        <v>46356</v>
      </c>
      <c r="C41" s="32">
        <f t="shared" si="4"/>
        <v>358022.82562270545</v>
      </c>
      <c r="D41" s="32">
        <f>IF(A41&lt;'Loan Input Parameters'!$B$16,'Loan Input Parameters'!$B$24,IF(A41='Loan Input Parameters'!$B$16,'Loan Input Parameters'!$B$24+'Loan Input Parameters'!$B$20,0))</f>
        <v>7931.5630539595995</v>
      </c>
      <c r="E41" s="32">
        <f>IF($A41&lt;'Loan Input Parameters'!$B$16,C41*'Loan Input Parameters'!$B$15/12,"0.00")</f>
        <v>3281.8759015414666</v>
      </c>
      <c r="F41" s="32">
        <f>IF(A41&lt;='Loan Input Parameters'!$B$16,'Loan Input Parameters'!$B$23,0)</f>
        <v>69</v>
      </c>
      <c r="G41" s="32">
        <f>IF($A41&lt;'Loan Input Parameters'!$B$16,D41-E41-F41,"0.00")</f>
        <v>4580.6871524181333</v>
      </c>
      <c r="H41" s="32">
        <f>IF($A41&lt;'Loan Input Parameters'!$B$16,C41-G41,"0.00")</f>
        <v>353442.13847028732</v>
      </c>
      <c r="I41" s="45">
        <f>H41/'Loan Input Parameters'!$B$13</f>
        <v>0.70518126418756166</v>
      </c>
      <c r="J41" s="45">
        <f>J40</f>
        <v>0.11</v>
      </c>
      <c r="K41" s="76" cm="1">
        <f t="array" ref="K41">IF(
AND(MONTH($B41)=1,SUMPRODUCT(--(MONTH($B$4:B41)=1))=1),
K40*(1-22%*J41),
IF(
AND(MONTH($B41)=1,SUMPRODUCT(--(MONTH($B$4:B41)=1))=2),
K40*(1-20%*J41),
IF($A41&lt;13,K40*(1-(J41*4%)),
IF($A41&lt;25,K40*(1-(J41*5%)),K40*(1-J41/12)
)
)
))</f>
        <v>308895.67675893981</v>
      </c>
      <c r="L41" s="76">
        <f>IF(K41*'Loan Input Parameters'!$B$41&lt;'Loan Input Parameters'!$B$42,'Loan Input Parameters'!$B$42,K41*'Loan Input Parameters'!$B$41)</f>
        <v>0</v>
      </c>
      <c r="M41" s="76">
        <f t="shared" si="0"/>
        <v>308895.67675893981</v>
      </c>
      <c r="N41" s="77">
        <f t="shared" si="6"/>
        <v>44546.461711347511</v>
      </c>
      <c r="O41" s="76">
        <f>IF('Loan Input Parameters'!$B$8*3%&lt;=4000,4000,IF('Loan Input Parameters'!$B$8*3%&gt;=18000,18000,'Loan Input Parameters'!$B$8*3%))</f>
        <v>15000</v>
      </c>
      <c r="P41" s="76">
        <f t="shared" si="1"/>
        <v>59546.461711347511</v>
      </c>
    </row>
    <row r="42" spans="1:16" ht="14.4" thickBot="1" x14ac:dyDescent="0.35">
      <c r="A42" s="75">
        <f t="shared" si="2"/>
        <v>39</v>
      </c>
      <c r="B42" s="34">
        <f t="shared" si="3"/>
        <v>46387</v>
      </c>
      <c r="C42" s="32">
        <f t="shared" si="4"/>
        <v>353442.13847028732</v>
      </c>
      <c r="D42" s="32">
        <f>IF(A42&lt;'Loan Input Parameters'!$B$16,'Loan Input Parameters'!$B$24,IF(A42='Loan Input Parameters'!$B$16,'Loan Input Parameters'!$B$24+'Loan Input Parameters'!$B$20,0))</f>
        <v>7931.5630539595995</v>
      </c>
      <c r="E42" s="32">
        <f>IF($A42&lt;'Loan Input Parameters'!$B$16,C42*'Loan Input Parameters'!$B$15/12,"0.00")</f>
        <v>3239.8862693109672</v>
      </c>
      <c r="F42" s="32">
        <f>IF(A42&lt;='Loan Input Parameters'!$B$16,'Loan Input Parameters'!$B$23,0)</f>
        <v>69</v>
      </c>
      <c r="G42" s="32">
        <f>IF($A42&lt;'Loan Input Parameters'!$B$16,D42-E42-F42,"0.00")</f>
        <v>4622.6767846486327</v>
      </c>
      <c r="H42" s="32">
        <f>IF($A42&lt;'Loan Input Parameters'!$B$16,C42-G42,"0.00")</f>
        <v>348819.4616856387</v>
      </c>
      <c r="I42" s="45">
        <f>H42/'Loan Input Parameters'!$B$13</f>
        <v>0.6959581843560575</v>
      </c>
      <c r="J42" s="45">
        <f t="shared" ref="J42:J51" si="8">J41</f>
        <v>0.11</v>
      </c>
      <c r="K42" s="76" cm="1">
        <f t="array" ref="K42">IF(
AND(MONTH($B42)=1,SUMPRODUCT(--(MONTH($B$4:B42)=1))=1),
K41*(1-22%*J42),
IF(
AND(MONTH($B42)=1,SUMPRODUCT(--(MONTH($B$4:B42)=1))=2),
K41*(1-20%*J42),
IF($A42&lt;13,K41*(1-(J42*4%)),
IF($A42&lt;25,K41*(1-(J42*5%)),K41*(1-J42/12)
)
)
))</f>
        <v>306064.13305531617</v>
      </c>
      <c r="L42" s="76">
        <f>IF(K42*'Loan Input Parameters'!$B$41&lt;'Loan Input Parameters'!$B$42,'Loan Input Parameters'!$B$42,K42*'Loan Input Parameters'!$B$41)</f>
        <v>0</v>
      </c>
      <c r="M42" s="76">
        <f t="shared" si="0"/>
        <v>306064.13305531617</v>
      </c>
      <c r="N42" s="77">
        <f t="shared" si="6"/>
        <v>42755.328630322532</v>
      </c>
      <c r="O42" s="76">
        <f>IF('Loan Input Parameters'!$B$8*3%&lt;=4000,4000,IF('Loan Input Parameters'!$B$8*3%&gt;=18000,18000,'Loan Input Parameters'!$B$8*3%))</f>
        <v>15000</v>
      </c>
      <c r="P42" s="76">
        <f t="shared" si="1"/>
        <v>57755.328630322532</v>
      </c>
    </row>
    <row r="43" spans="1:16" ht="14.4" thickBot="1" x14ac:dyDescent="0.35">
      <c r="A43" s="75">
        <f t="shared" si="2"/>
        <v>40</v>
      </c>
      <c r="B43" s="34">
        <f t="shared" si="3"/>
        <v>46418</v>
      </c>
      <c r="C43" s="32">
        <f t="shared" si="4"/>
        <v>348819.4616856387</v>
      </c>
      <c r="D43" s="32">
        <f>IF(A43&lt;'Loan Input Parameters'!$B$16,'Loan Input Parameters'!$B$24,IF(A43='Loan Input Parameters'!$B$16,'Loan Input Parameters'!$B$24+'Loan Input Parameters'!$B$20,0))</f>
        <v>7931.5630539595995</v>
      </c>
      <c r="E43" s="32">
        <f>IF($A43&lt;'Loan Input Parameters'!$B$16,C43*'Loan Input Parameters'!$B$15/12,"0.00")</f>
        <v>3197.5117321183548</v>
      </c>
      <c r="F43" s="32">
        <f>IF(A43&lt;='Loan Input Parameters'!$B$16,'Loan Input Parameters'!$B$23,0)</f>
        <v>69</v>
      </c>
      <c r="G43" s="32">
        <f>IF($A43&lt;'Loan Input Parameters'!$B$16,D43-E43-F43,"0.00")</f>
        <v>4665.0513218412452</v>
      </c>
      <c r="H43" s="32">
        <f>IF($A43&lt;'Loan Input Parameters'!$B$16,C43-G43,"0.00")</f>
        <v>344154.41036379745</v>
      </c>
      <c r="I43" s="45">
        <f>H43/'Loan Input Parameters'!$B$13</f>
        <v>0.68665055962609789</v>
      </c>
      <c r="J43" s="45">
        <f t="shared" si="8"/>
        <v>0.11</v>
      </c>
      <c r="K43" s="76" cm="1">
        <f t="array" ref="K43">IF(
AND(MONTH($B43)=1,SUMPRODUCT(--(MONTH($B$4:B43)=1))=1),
K42*(1-22%*J43),
IF(
AND(MONTH($B43)=1,SUMPRODUCT(--(MONTH($B$4:B43)=1))=2),
K42*(1-20%*J43),
IF($A43&lt;13,K42*(1-(J43*4%)),
IF($A43&lt;25,K42*(1-(J43*5%)),K42*(1-J43/12)
)
)
))</f>
        <v>303258.54516897578</v>
      </c>
      <c r="L43" s="76">
        <f>IF(K43*'Loan Input Parameters'!$B$41&lt;'Loan Input Parameters'!$B$42,'Loan Input Parameters'!$B$42,K43*'Loan Input Parameters'!$B$41)</f>
        <v>0</v>
      </c>
      <c r="M43" s="76">
        <f t="shared" si="0"/>
        <v>303258.54516897578</v>
      </c>
      <c r="N43" s="77">
        <f t="shared" si="6"/>
        <v>40895.865194821672</v>
      </c>
      <c r="O43" s="76">
        <f>IF('Loan Input Parameters'!$B$8*3%&lt;=4000,4000,IF('Loan Input Parameters'!$B$8*3%&gt;=18000,18000,'Loan Input Parameters'!$B$8*3%))</f>
        <v>15000</v>
      </c>
      <c r="P43" s="76">
        <f t="shared" si="1"/>
        <v>55895.865194821672</v>
      </c>
    </row>
    <row r="44" spans="1:16" ht="14.4" thickBot="1" x14ac:dyDescent="0.35">
      <c r="A44" s="75">
        <f t="shared" si="2"/>
        <v>41</v>
      </c>
      <c r="B44" s="34">
        <f t="shared" si="3"/>
        <v>46446</v>
      </c>
      <c r="C44" s="32">
        <f t="shared" si="4"/>
        <v>344154.41036379745</v>
      </c>
      <c r="D44" s="32">
        <f>IF(A44&lt;'Loan Input Parameters'!$B$16,'Loan Input Parameters'!$B$24,IF(A44='Loan Input Parameters'!$B$16,'Loan Input Parameters'!$B$24+'Loan Input Parameters'!$B$20,0))</f>
        <v>7931.5630539595995</v>
      </c>
      <c r="E44" s="32">
        <f>IF($A44&lt;'Loan Input Parameters'!$B$16,C44*'Loan Input Parameters'!$B$15/12,"0.00")</f>
        <v>3154.7487616681433</v>
      </c>
      <c r="F44" s="32">
        <f>IF(A44&lt;='Loan Input Parameters'!$B$16,'Loan Input Parameters'!$B$23,0)</f>
        <v>69</v>
      </c>
      <c r="G44" s="32">
        <f>IF($A44&lt;'Loan Input Parameters'!$B$16,D44-E44-F44,"0.00")</f>
        <v>4707.8142922914558</v>
      </c>
      <c r="H44" s="32">
        <f>IF($A44&lt;'Loan Input Parameters'!$B$16,C44-G44,"0.00")</f>
        <v>339446.59607150598</v>
      </c>
      <c r="I44" s="45">
        <f>H44/'Loan Input Parameters'!$B$13</f>
        <v>0.67725761500278026</v>
      </c>
      <c r="J44" s="45">
        <f t="shared" si="8"/>
        <v>0.11</v>
      </c>
      <c r="K44" s="76" cm="1">
        <f t="array" ref="K44">IF(
AND(MONTH($B44)=1,SUMPRODUCT(--(MONTH($B$4:B44)=1))=1),
K43*(1-22%*J44),
IF(
AND(MONTH($B44)=1,SUMPRODUCT(--(MONTH($B$4:B44)=1))=2),
K43*(1-20%*J44),
IF($A44&lt;13,K43*(1-(J44*4%)),
IF($A44&lt;25,K43*(1-(J44*5%)),K43*(1-J44/12)
)
)
))</f>
        <v>300478.6751715935</v>
      </c>
      <c r="L44" s="76">
        <f>IF(K44*'Loan Input Parameters'!$B$41&lt;'Loan Input Parameters'!$B$42,'Loan Input Parameters'!$B$42,K44*'Loan Input Parameters'!$B$41)</f>
        <v>0</v>
      </c>
      <c r="M44" s="76">
        <f t="shared" si="0"/>
        <v>300478.6751715935</v>
      </c>
      <c r="N44" s="77">
        <f t="shared" si="6"/>
        <v>38967.920899912482</v>
      </c>
      <c r="O44" s="76">
        <f>IF('Loan Input Parameters'!$B$8*3%&lt;=4000,4000,IF('Loan Input Parameters'!$B$8*3%&gt;=18000,18000,'Loan Input Parameters'!$B$8*3%))</f>
        <v>15000</v>
      </c>
      <c r="P44" s="76">
        <f t="shared" si="1"/>
        <v>53967.920899912482</v>
      </c>
    </row>
    <row r="45" spans="1:16" ht="14.4" thickBot="1" x14ac:dyDescent="0.35">
      <c r="A45" s="75">
        <f t="shared" si="2"/>
        <v>42</v>
      </c>
      <c r="B45" s="34">
        <f t="shared" si="3"/>
        <v>46477</v>
      </c>
      <c r="C45" s="32">
        <f t="shared" si="4"/>
        <v>339446.59607150598</v>
      </c>
      <c r="D45" s="32">
        <f>IF(A45&lt;'Loan Input Parameters'!$B$16,'Loan Input Parameters'!$B$24,IF(A45='Loan Input Parameters'!$B$16,'Loan Input Parameters'!$B$24+'Loan Input Parameters'!$B$20,0))</f>
        <v>7931.5630539595995</v>
      </c>
      <c r="E45" s="32">
        <f>IF($A45&lt;'Loan Input Parameters'!$B$16,C45*'Loan Input Parameters'!$B$15/12,"0.00")</f>
        <v>3111.5937973221385</v>
      </c>
      <c r="F45" s="32">
        <f>IF(A45&lt;='Loan Input Parameters'!$B$16,'Loan Input Parameters'!$B$23,0)</f>
        <v>69</v>
      </c>
      <c r="G45" s="32">
        <f>IF($A45&lt;'Loan Input Parameters'!$B$16,D45-E45-F45,"0.00")</f>
        <v>4750.9692566374615</v>
      </c>
      <c r="H45" s="32">
        <f>IF($A45&lt;'Loan Input Parameters'!$B$16,C45-G45,"0.00")</f>
        <v>334695.62681486853</v>
      </c>
      <c r="I45" s="45">
        <f>H45/'Loan Input Parameters'!$B$13</f>
        <v>0.66777856838708227</v>
      </c>
      <c r="J45" s="45">
        <f t="shared" si="8"/>
        <v>0.11</v>
      </c>
      <c r="K45" s="76" cm="1">
        <f t="array" ref="K45">IF(
AND(MONTH($B45)=1,SUMPRODUCT(--(MONTH($B$4:B45)=1))=1),
K44*(1-22%*J45),
IF(
AND(MONTH($B45)=1,SUMPRODUCT(--(MONTH($B$4:B45)=1))=2),
K44*(1-20%*J45),
IF($A45&lt;13,K44*(1-(J45*4%)),
IF($A45&lt;25,K44*(1-(J45*5%)),K44*(1-J45/12)
)
)
))</f>
        <v>297724.28731585387</v>
      </c>
      <c r="L45" s="76">
        <f>IF(K45*'Loan Input Parameters'!$B$41&lt;'Loan Input Parameters'!$B$42,'Loan Input Parameters'!$B$42,K45*'Loan Input Parameters'!$B$41)</f>
        <v>0</v>
      </c>
      <c r="M45" s="76">
        <f t="shared" si="0"/>
        <v>297724.28731585387</v>
      </c>
      <c r="N45" s="77">
        <f t="shared" si="6"/>
        <v>36971.339499014663</v>
      </c>
      <c r="O45" s="76">
        <f>IF('Loan Input Parameters'!$B$8*3%&lt;=4000,4000,IF('Loan Input Parameters'!$B$8*3%&gt;=18000,18000,'Loan Input Parameters'!$B$8*3%))</f>
        <v>15000</v>
      </c>
      <c r="P45" s="76">
        <f t="shared" si="1"/>
        <v>51971.339499014663</v>
      </c>
    </row>
    <row r="46" spans="1:16" ht="14.4" thickBot="1" x14ac:dyDescent="0.35">
      <c r="A46" s="75">
        <f t="shared" si="2"/>
        <v>43</v>
      </c>
      <c r="B46" s="34">
        <f t="shared" si="3"/>
        <v>46507</v>
      </c>
      <c r="C46" s="32">
        <f t="shared" si="4"/>
        <v>334695.62681486853</v>
      </c>
      <c r="D46" s="32">
        <f>IF(A46&lt;'Loan Input Parameters'!$B$16,'Loan Input Parameters'!$B$24,IF(A46='Loan Input Parameters'!$B$16,'Loan Input Parameters'!$B$24+'Loan Input Parameters'!$B$20,0))</f>
        <v>7931.5630539595995</v>
      </c>
      <c r="E46" s="32">
        <f>IF($A46&lt;'Loan Input Parameters'!$B$16,C46*'Loan Input Parameters'!$B$15/12,"0.00")</f>
        <v>3068.0432458029613</v>
      </c>
      <c r="F46" s="32">
        <f>IF(A46&lt;='Loan Input Parameters'!$B$16,'Loan Input Parameters'!$B$23,0)</f>
        <v>69</v>
      </c>
      <c r="G46" s="32">
        <f>IF($A46&lt;'Loan Input Parameters'!$B$16,D46-E46-F46,"0.00")</f>
        <v>4794.5198081566377</v>
      </c>
      <c r="H46" s="32">
        <f>IF($A46&lt;'Loan Input Parameters'!$B$16,C46-G46,"0.00")</f>
        <v>329901.10700671189</v>
      </c>
      <c r="I46" s="45">
        <f>H46/'Loan Input Parameters'!$B$13</f>
        <v>0.6582126305107403</v>
      </c>
      <c r="J46" s="45">
        <f t="shared" si="8"/>
        <v>0.11</v>
      </c>
      <c r="K46" s="76" cm="1">
        <f t="array" ref="K46">IF(
AND(MONTH($B46)=1,SUMPRODUCT(--(MONTH($B$4:B46)=1))=1),
K45*(1-22%*J46),
IF(
AND(MONTH($B46)=1,SUMPRODUCT(--(MONTH($B$4:B46)=1))=2),
K45*(1-20%*J46),
IF($A46&lt;13,K45*(1-(J46*4%)),
IF($A46&lt;25,K45*(1-(J46*5%)),K45*(1-J46/12)
)
)
))</f>
        <v>294995.14801545854</v>
      </c>
      <c r="L46" s="76">
        <f>IF(K46*'Loan Input Parameters'!$B$41&lt;'Loan Input Parameters'!$B$42,'Loan Input Parameters'!$B$42,K46*'Loan Input Parameters'!$B$41)</f>
        <v>0</v>
      </c>
      <c r="M46" s="76">
        <f t="shared" si="0"/>
        <v>294995.14801545854</v>
      </c>
      <c r="N46" s="77">
        <f t="shared" si="6"/>
        <v>34905.958991253341</v>
      </c>
      <c r="O46" s="76">
        <f>IF('Loan Input Parameters'!$B$8*3%&lt;=4000,4000,IF('Loan Input Parameters'!$B$8*3%&gt;=18000,18000,'Loan Input Parameters'!$B$8*3%))</f>
        <v>15000</v>
      </c>
      <c r="P46" s="76">
        <f t="shared" si="1"/>
        <v>49905.958991253341</v>
      </c>
    </row>
    <row r="47" spans="1:16" ht="14.4" thickBot="1" x14ac:dyDescent="0.35">
      <c r="A47" s="75">
        <f t="shared" si="2"/>
        <v>44</v>
      </c>
      <c r="B47" s="34">
        <f t="shared" si="3"/>
        <v>46538</v>
      </c>
      <c r="C47" s="32">
        <f t="shared" si="4"/>
        <v>329901.10700671189</v>
      </c>
      <c r="D47" s="32">
        <f>IF(A47&lt;'Loan Input Parameters'!$B$16,'Loan Input Parameters'!$B$24,IF(A47='Loan Input Parameters'!$B$16,'Loan Input Parameters'!$B$24+'Loan Input Parameters'!$B$20,0))</f>
        <v>7931.5630539595995</v>
      </c>
      <c r="E47" s="32">
        <f>IF($A47&lt;'Loan Input Parameters'!$B$16,C47*'Loan Input Parameters'!$B$15/12,"0.00")</f>
        <v>3024.0934808948591</v>
      </c>
      <c r="F47" s="32">
        <f>IF(A47&lt;='Loan Input Parameters'!$B$16,'Loan Input Parameters'!$B$23,0)</f>
        <v>69</v>
      </c>
      <c r="G47" s="32">
        <f>IF($A47&lt;'Loan Input Parameters'!$B$16,D47-E47-F47,"0.00")</f>
        <v>4838.46957306474</v>
      </c>
      <c r="H47" s="32">
        <f>IF($A47&lt;'Loan Input Parameters'!$B$16,C47-G47,"0.00")</f>
        <v>325062.63743364712</v>
      </c>
      <c r="I47" s="45">
        <f>H47/'Loan Input Parameters'!$B$13</f>
        <v>0.64855900487053186</v>
      </c>
      <c r="J47" s="45">
        <f t="shared" si="8"/>
        <v>0.11</v>
      </c>
      <c r="K47" s="76" cm="1">
        <f t="array" ref="K47">IF(
AND(MONTH($B47)=1,SUMPRODUCT(--(MONTH($B$4:B47)=1))=1),
K46*(1-22%*J47),
IF(
AND(MONTH($B47)=1,SUMPRODUCT(--(MONTH($B$4:B47)=1))=2),
K46*(1-20%*J47),
IF($A47&lt;13,K46*(1-(J47*4%)),
IF($A47&lt;25,K46*(1-(J47*5%)),K46*(1-J47/12)
)
)
))</f>
        <v>292291.02582531684</v>
      </c>
      <c r="L47" s="76">
        <f>IF(K47*'Loan Input Parameters'!$B$41&lt;'Loan Input Parameters'!$B$42,'Loan Input Parameters'!$B$42,K47*'Loan Input Parameters'!$B$41)</f>
        <v>0</v>
      </c>
      <c r="M47" s="76">
        <f t="shared" si="0"/>
        <v>292291.02582531684</v>
      </c>
      <c r="N47" s="77">
        <f t="shared" si="6"/>
        <v>32771.611608330277</v>
      </c>
      <c r="O47" s="76">
        <f>IF('Loan Input Parameters'!$B$8*3%&lt;=4000,4000,IF('Loan Input Parameters'!$B$8*3%&gt;=18000,18000,'Loan Input Parameters'!$B$8*3%))</f>
        <v>15000</v>
      </c>
      <c r="P47" s="76">
        <f t="shared" si="1"/>
        <v>47771.611608330277</v>
      </c>
    </row>
    <row r="48" spans="1:16" ht="14.4" thickBot="1" x14ac:dyDescent="0.35">
      <c r="A48" s="75">
        <f t="shared" si="2"/>
        <v>45</v>
      </c>
      <c r="B48" s="34">
        <f t="shared" si="3"/>
        <v>46568</v>
      </c>
      <c r="C48" s="32">
        <f t="shared" si="4"/>
        <v>325062.63743364712</v>
      </c>
      <c r="D48" s="32">
        <f>IF(A48&lt;'Loan Input Parameters'!$B$16,'Loan Input Parameters'!$B$24,IF(A48='Loan Input Parameters'!$B$16,'Loan Input Parameters'!$B$24+'Loan Input Parameters'!$B$20,0))</f>
        <v>7931.5630539595995</v>
      </c>
      <c r="E48" s="32">
        <f>IF($A48&lt;'Loan Input Parameters'!$B$16,C48*'Loan Input Parameters'!$B$15/12,"0.00")</f>
        <v>2979.7408431417657</v>
      </c>
      <c r="F48" s="32">
        <f>IF(A48&lt;='Loan Input Parameters'!$B$16,'Loan Input Parameters'!$B$23,0)</f>
        <v>69</v>
      </c>
      <c r="G48" s="32">
        <f>IF($A48&lt;'Loan Input Parameters'!$B$16,D48-E48-F48,"0.00")</f>
        <v>4882.8222108178343</v>
      </c>
      <c r="H48" s="32">
        <f>IF($A48&lt;'Loan Input Parameters'!$B$16,C48-G48,"0.00")</f>
        <v>320179.81522282929</v>
      </c>
      <c r="I48" s="45">
        <f>H48/'Loan Input Parameters'!$B$13</f>
        <v>0.63881688766195499</v>
      </c>
      <c r="J48" s="45">
        <f t="shared" si="8"/>
        <v>0.11</v>
      </c>
      <c r="K48" s="76" cm="1">
        <f t="array" ref="K48">IF(
AND(MONTH($B48)=1,SUMPRODUCT(--(MONTH($B$4:B48)=1))=1),
K47*(1-22%*J48),
IF(
AND(MONTH($B48)=1,SUMPRODUCT(--(MONTH($B$4:B48)=1))=2),
K47*(1-20%*J48),
IF($A48&lt;13,K47*(1-(J48*4%)),
IF($A48&lt;25,K47*(1-(J48*5%)),K47*(1-J48/12)
)
)
))</f>
        <v>289611.69142191811</v>
      </c>
      <c r="L48" s="76">
        <f>IF(K48*'Loan Input Parameters'!$B$41&lt;'Loan Input Parameters'!$B$42,'Loan Input Parameters'!$B$42,K48*'Loan Input Parameters'!$B$41)</f>
        <v>0</v>
      </c>
      <c r="M48" s="76">
        <f t="shared" si="0"/>
        <v>289611.69142191811</v>
      </c>
      <c r="N48" s="77">
        <f t="shared" si="6"/>
        <v>30568.123800911184</v>
      </c>
      <c r="O48" s="76">
        <f>IF('Loan Input Parameters'!$B$8*3%&lt;=4000,4000,IF('Loan Input Parameters'!$B$8*3%&gt;=18000,18000,'Loan Input Parameters'!$B$8*3%))</f>
        <v>15000</v>
      </c>
      <c r="P48" s="76">
        <f t="shared" si="1"/>
        <v>45568.123800911184</v>
      </c>
    </row>
    <row r="49" spans="1:16" ht="14.4" thickBot="1" x14ac:dyDescent="0.35">
      <c r="A49" s="75">
        <f t="shared" si="2"/>
        <v>46</v>
      </c>
      <c r="B49" s="34">
        <f t="shared" si="3"/>
        <v>46599</v>
      </c>
      <c r="C49" s="32">
        <f t="shared" si="4"/>
        <v>320179.81522282929</v>
      </c>
      <c r="D49" s="32">
        <f>IF(A49&lt;'Loan Input Parameters'!$B$16,'Loan Input Parameters'!$B$24,IF(A49='Loan Input Parameters'!$B$16,'Loan Input Parameters'!$B$24+'Loan Input Parameters'!$B$20,0))</f>
        <v>7931.5630539595995</v>
      </c>
      <c r="E49" s="32">
        <f>IF($A49&lt;'Loan Input Parameters'!$B$16,C49*'Loan Input Parameters'!$B$15/12,"0.00")</f>
        <v>2934.9816395426019</v>
      </c>
      <c r="F49" s="32">
        <f>IF(A49&lt;='Loan Input Parameters'!$B$16,'Loan Input Parameters'!$B$23,0)</f>
        <v>69</v>
      </c>
      <c r="G49" s="32">
        <f>IF($A49&lt;'Loan Input Parameters'!$B$16,D49-E49-F49,"0.00")</f>
        <v>4927.5814144169981</v>
      </c>
      <c r="H49" s="32">
        <f>IF($A49&lt;'Loan Input Parameters'!$B$16,C49-G49,"0.00")</f>
        <v>315252.23380841227</v>
      </c>
      <c r="I49" s="45">
        <f>H49/'Loan Input Parameters'!$B$13</f>
        <v>0.62898546771229935</v>
      </c>
      <c r="J49" s="45">
        <f t="shared" si="8"/>
        <v>0.11</v>
      </c>
      <c r="K49" s="76" cm="1">
        <f t="array" ref="K49">IF(
AND(MONTH($B49)=1,SUMPRODUCT(--(MONTH($B$4:B49)=1))=1),
K48*(1-22%*J49),
IF(
AND(MONTH($B49)=1,SUMPRODUCT(--(MONTH($B$4:B49)=1))=2),
K48*(1-20%*J49),
IF($A49&lt;13,K48*(1-(J49*4%)),
IF($A49&lt;25,K48*(1-(J49*5%)),K48*(1-J49/12)
)
)
))</f>
        <v>286956.91758388386</v>
      </c>
      <c r="L49" s="76">
        <f>IF(K49*'Loan Input Parameters'!$B$41&lt;'Loan Input Parameters'!$B$42,'Loan Input Parameters'!$B$42,K49*'Loan Input Parameters'!$B$41)</f>
        <v>0</v>
      </c>
      <c r="M49" s="76">
        <f t="shared" si="0"/>
        <v>286956.91758388386</v>
      </c>
      <c r="N49" s="77">
        <f t="shared" si="6"/>
        <v>28295.316224528418</v>
      </c>
      <c r="O49" s="76">
        <f>IF('Loan Input Parameters'!$B$8*3%&lt;=4000,4000,IF('Loan Input Parameters'!$B$8*3%&gt;=18000,18000,'Loan Input Parameters'!$B$8*3%))</f>
        <v>15000</v>
      </c>
      <c r="P49" s="76">
        <f t="shared" si="1"/>
        <v>43295.316224528418</v>
      </c>
    </row>
    <row r="50" spans="1:16" ht="14.4" thickBot="1" x14ac:dyDescent="0.35">
      <c r="A50" s="75">
        <f t="shared" si="2"/>
        <v>47</v>
      </c>
      <c r="B50" s="34">
        <f t="shared" si="3"/>
        <v>46630</v>
      </c>
      <c r="C50" s="32">
        <f t="shared" si="4"/>
        <v>315252.23380841227</v>
      </c>
      <c r="D50" s="32">
        <f>IF(A50&lt;'Loan Input Parameters'!$B$16,'Loan Input Parameters'!$B$24,IF(A50='Loan Input Parameters'!$B$16,'Loan Input Parameters'!$B$24+'Loan Input Parameters'!$B$20,0))</f>
        <v>7931.5630539595995</v>
      </c>
      <c r="E50" s="32">
        <f>IF($A50&lt;'Loan Input Parameters'!$B$16,C50*'Loan Input Parameters'!$B$15/12,"0.00")</f>
        <v>2889.8121432437788</v>
      </c>
      <c r="F50" s="32">
        <f>IF(A50&lt;='Loan Input Parameters'!$B$16,'Loan Input Parameters'!$B$23,0)</f>
        <v>69</v>
      </c>
      <c r="G50" s="32">
        <f>IF($A50&lt;'Loan Input Parameters'!$B$16,D50-E50-F50,"0.00")</f>
        <v>4972.7509107158203</v>
      </c>
      <c r="H50" s="32">
        <f>IF($A50&lt;'Loan Input Parameters'!$B$16,C50-G50,"0.00")</f>
        <v>310279.48289769643</v>
      </c>
      <c r="I50" s="45">
        <f>H50/'Loan Input Parameters'!$B$13</f>
        <v>0.61906392641310526</v>
      </c>
      <c r="J50" s="45">
        <f t="shared" si="8"/>
        <v>0.11</v>
      </c>
      <c r="K50" s="76" cm="1">
        <f t="array" ref="K50">IF(
AND(MONTH($B50)=1,SUMPRODUCT(--(MONTH($B$4:B50)=1))=1),
K49*(1-22%*J50),
IF(
AND(MONTH($B50)=1,SUMPRODUCT(--(MONTH($B$4:B50)=1))=2),
K49*(1-20%*J50),
IF($A50&lt;13,K49*(1-(J50*4%)),
IF($A50&lt;25,K49*(1-(J50*5%)),K49*(1-J50/12)
)
)
))</f>
        <v>284326.47917269828</v>
      </c>
      <c r="L50" s="76">
        <f>IF(K50*'Loan Input Parameters'!$B$41&lt;'Loan Input Parameters'!$B$42,'Loan Input Parameters'!$B$42,K50*'Loan Input Parameters'!$B$41)</f>
        <v>0</v>
      </c>
      <c r="M50" s="76">
        <f t="shared" si="0"/>
        <v>284326.47917269828</v>
      </c>
      <c r="N50" s="77">
        <f t="shared" si="6"/>
        <v>25953.003724998154</v>
      </c>
      <c r="O50" s="76">
        <f>IF('Loan Input Parameters'!$B$8*3%&lt;=4000,4000,IF('Loan Input Parameters'!$B$8*3%&gt;=18000,18000,'Loan Input Parameters'!$B$8*3%))</f>
        <v>15000</v>
      </c>
      <c r="P50" s="76">
        <f t="shared" si="1"/>
        <v>40953.003724998154</v>
      </c>
    </row>
    <row r="51" spans="1:16" ht="14.4" thickBot="1" x14ac:dyDescent="0.35">
      <c r="A51" s="75">
        <f t="shared" si="2"/>
        <v>48</v>
      </c>
      <c r="B51" s="34">
        <f t="shared" si="3"/>
        <v>46660</v>
      </c>
      <c r="C51" s="32">
        <f t="shared" si="4"/>
        <v>310279.48289769643</v>
      </c>
      <c r="D51" s="32">
        <f>IF(A51&lt;'Loan Input Parameters'!$B$16,'Loan Input Parameters'!$B$24,IF(A51='Loan Input Parameters'!$B$16,'Loan Input Parameters'!$B$24+'Loan Input Parameters'!$B$20,0))</f>
        <v>7931.5630539595995</v>
      </c>
      <c r="E51" s="32">
        <f>IF($A51&lt;'Loan Input Parameters'!$B$16,C51*'Loan Input Parameters'!$B$15/12,"0.00")</f>
        <v>2844.2285932288837</v>
      </c>
      <c r="F51" s="32">
        <f>IF(A51&lt;='Loan Input Parameters'!$B$16,'Loan Input Parameters'!$B$23,0)</f>
        <v>69</v>
      </c>
      <c r="G51" s="32">
        <f>IF($A51&lt;'Loan Input Parameters'!$B$16,D51-E51-F51,"0.00")</f>
        <v>5018.3344607307154</v>
      </c>
      <c r="H51" s="32">
        <f>IF($A51&lt;'Loan Input Parameters'!$B$16,C51-G51,"0.00")</f>
        <v>305261.14843696571</v>
      </c>
      <c r="I51" s="45">
        <f>H51/'Loan Input Parameters'!$B$13</f>
        <v>0.60905143765200187</v>
      </c>
      <c r="J51" s="45">
        <f t="shared" si="8"/>
        <v>0.11</v>
      </c>
      <c r="K51" s="76" cm="1">
        <f t="array" ref="K51">IF(
AND(MONTH($B51)=1,SUMPRODUCT(--(MONTH($B$4:B51)=1))=1),
K50*(1-22%*J51),
IF(
AND(MONTH($B51)=1,SUMPRODUCT(--(MONTH($B$4:B51)=1))=2),
K50*(1-20%*J51),
IF($A51&lt;13,K50*(1-(J51*4%)),
IF($A51&lt;25,K50*(1-(J51*5%)),K50*(1-J51/12)
)
)
))</f>
        <v>281720.15311361523</v>
      </c>
      <c r="L51" s="76">
        <f>IF(K51*'Loan Input Parameters'!$B$41&lt;'Loan Input Parameters'!$B$42,'Loan Input Parameters'!$B$42,K51*'Loan Input Parameters'!$B$41)</f>
        <v>0</v>
      </c>
      <c r="M51" s="76">
        <f t="shared" si="0"/>
        <v>281720.15311361523</v>
      </c>
      <c r="N51" s="77">
        <f t="shared" si="6"/>
        <v>23540.995323350478</v>
      </c>
      <c r="O51" s="76">
        <f>IF('Loan Input Parameters'!$B$8*3%&lt;=4000,4000,IF('Loan Input Parameters'!$B$8*3%&gt;=18000,18000,'Loan Input Parameters'!$B$8*3%))</f>
        <v>15000</v>
      </c>
      <c r="P51" s="76">
        <f t="shared" si="1"/>
        <v>38540.995323350478</v>
      </c>
    </row>
    <row r="52" spans="1:16" ht="14.4" thickBot="1" x14ac:dyDescent="0.35">
      <c r="A52" s="75">
        <f t="shared" si="2"/>
        <v>49</v>
      </c>
      <c r="B52" s="34">
        <f t="shared" si="3"/>
        <v>46691</v>
      </c>
      <c r="C52" s="32">
        <f t="shared" si="4"/>
        <v>305261.14843696571</v>
      </c>
      <c r="D52" s="32">
        <f>IF(A52&lt;'Loan Input Parameters'!$B$16,'Loan Input Parameters'!$B$24,IF(A52='Loan Input Parameters'!$B$16,'Loan Input Parameters'!$B$24+'Loan Input Parameters'!$B$20,0))</f>
        <v>7931.5630539595995</v>
      </c>
      <c r="E52" s="32">
        <f>IF($A52&lt;'Loan Input Parameters'!$B$16,C52*'Loan Input Parameters'!$B$15/12,"0.00")</f>
        <v>2798.2271940055193</v>
      </c>
      <c r="F52" s="32">
        <f>IF(A52&lt;='Loan Input Parameters'!$B$16,'Loan Input Parameters'!$B$23,0)</f>
        <v>69</v>
      </c>
      <c r="G52" s="32">
        <f>IF($A52&lt;'Loan Input Parameters'!$B$16,D52-E52-F52,"0.00")</f>
        <v>5064.3358599540807</v>
      </c>
      <c r="H52" s="32">
        <f>IF($A52&lt;'Loan Input Parameters'!$B$16,C52-G52,"0.00")</f>
        <v>300196.81257701165</v>
      </c>
      <c r="I52" s="45">
        <f>H52/'Loan Input Parameters'!$B$13</f>
        <v>0.59894716774392176</v>
      </c>
      <c r="J52" s="45">
        <f>IF('Loan Input Parameters'!$B$32="Overide",'Loan Input Parameters'!$C$38,'Loan Input Parameters'!$B$38)</f>
        <v>0.11</v>
      </c>
      <c r="K52" s="76" cm="1">
        <f t="array" ref="K52">IF(
AND(MONTH($B52)=1,SUMPRODUCT(--(MONTH($B$4:B52)=1))=1),
K51*(1-22%*J52),
IF(
AND(MONTH($B52)=1,SUMPRODUCT(--(MONTH($B$4:B52)=1))=2),
K51*(1-20%*J52),
IF($A52&lt;13,K51*(1-(J52*4%)),
IF($A52&lt;25,K51*(1-(J52*5%)),K51*(1-J52/12)
)
)
))</f>
        <v>279137.71837674041</v>
      </c>
      <c r="L52" s="76">
        <f>IF(K52*'Loan Input Parameters'!$B$41&lt;'Loan Input Parameters'!$B$42,'Loan Input Parameters'!$B$42,K52*'Loan Input Parameters'!$B$41)</f>
        <v>0</v>
      </c>
      <c r="M52" s="76">
        <f t="shared" si="0"/>
        <v>279137.71837674041</v>
      </c>
      <c r="N52" s="77">
        <f t="shared" si="6"/>
        <v>21059.09420027124</v>
      </c>
      <c r="O52" s="76">
        <f>IF('Loan Input Parameters'!$B$8*3%&lt;=4000,4000,IF('Loan Input Parameters'!$B$8*3%&gt;=18000,18000,'Loan Input Parameters'!$B$8*3%))</f>
        <v>15000</v>
      </c>
      <c r="P52" s="76">
        <f t="shared" si="1"/>
        <v>36059.09420027124</v>
      </c>
    </row>
    <row r="53" spans="1:16" ht="14.4" thickBot="1" x14ac:dyDescent="0.35">
      <c r="A53" s="75">
        <f t="shared" si="2"/>
        <v>50</v>
      </c>
      <c r="B53" s="34">
        <f t="shared" si="3"/>
        <v>46721</v>
      </c>
      <c r="C53" s="32">
        <f t="shared" si="4"/>
        <v>300196.81257701165</v>
      </c>
      <c r="D53" s="32">
        <f>IF(A53&lt;'Loan Input Parameters'!$B$16,'Loan Input Parameters'!$B$24,IF(A53='Loan Input Parameters'!$B$16,'Loan Input Parameters'!$B$24+'Loan Input Parameters'!$B$20,0))</f>
        <v>7931.5630539595995</v>
      </c>
      <c r="E53" s="32">
        <f>IF($A53&lt;'Loan Input Parameters'!$B$16,C53*'Loan Input Parameters'!$B$15/12,"0.00")</f>
        <v>2751.8041152892733</v>
      </c>
      <c r="F53" s="32">
        <f>IF(A53&lt;='Loan Input Parameters'!$B$16,'Loan Input Parameters'!$B$23,0)</f>
        <v>69</v>
      </c>
      <c r="G53" s="32">
        <f>IF($A53&lt;'Loan Input Parameters'!$B$16,D53-E53-F53,"0.00")</f>
        <v>5110.7589386703257</v>
      </c>
      <c r="H53" s="32">
        <f>IF($A53&lt;'Loan Input Parameters'!$B$16,C53-G53,"0.00")</f>
        <v>295086.05363834131</v>
      </c>
      <c r="I53" s="45">
        <f>H53/'Loan Input Parameters'!$B$13</f>
        <v>0.58875027536168412</v>
      </c>
      <c r="J53" s="45">
        <f>J52</f>
        <v>0.11</v>
      </c>
      <c r="K53" s="76" cm="1">
        <f t="array" ref="K53">IF(
AND(MONTH($B53)=1,SUMPRODUCT(--(MONTH($B$4:B53)=1))=1),
K52*(1-22%*J53),
IF(
AND(MONTH($B53)=1,SUMPRODUCT(--(MONTH($B$4:B53)=1))=2),
K52*(1-20%*J53),
IF($A53&lt;13,K52*(1-(J53*4%)),
IF($A53&lt;25,K52*(1-(J53*5%)),K52*(1-J53/12)
)
)
))</f>
        <v>276578.95595828694</v>
      </c>
      <c r="L53" s="76">
        <f>IF(K53*'Loan Input Parameters'!$B$41&lt;'Loan Input Parameters'!$B$42,'Loan Input Parameters'!$B$42,K53*'Loan Input Parameters'!$B$41)</f>
        <v>0</v>
      </c>
      <c r="M53" s="76">
        <f t="shared" si="0"/>
        <v>276578.95595828694</v>
      </c>
      <c r="N53" s="77">
        <f t="shared" si="6"/>
        <v>18507.097680054372</v>
      </c>
      <c r="O53" s="76">
        <f>IF('Loan Input Parameters'!$B$8*3%&lt;=4000,4000,IF('Loan Input Parameters'!$B$8*3%&gt;=18000,18000,'Loan Input Parameters'!$B$8*3%))</f>
        <v>15000</v>
      </c>
      <c r="P53" s="76">
        <f t="shared" si="1"/>
        <v>33507.097680054372</v>
      </c>
    </row>
    <row r="54" spans="1:16" ht="14.4" thickBot="1" x14ac:dyDescent="0.35">
      <c r="A54" s="75">
        <f t="shared" si="2"/>
        <v>51</v>
      </c>
      <c r="B54" s="34">
        <f t="shared" si="3"/>
        <v>46752</v>
      </c>
      <c r="C54" s="32">
        <f t="shared" si="4"/>
        <v>295086.05363834131</v>
      </c>
      <c r="D54" s="32">
        <f>IF(A54&lt;'Loan Input Parameters'!$B$16,'Loan Input Parameters'!$B$24,IF(A54='Loan Input Parameters'!$B$16,'Loan Input Parameters'!$B$24+'Loan Input Parameters'!$B$20,0))</f>
        <v>7931.5630539595995</v>
      </c>
      <c r="E54" s="32">
        <f>IF($A54&lt;'Loan Input Parameters'!$B$16,C54*'Loan Input Parameters'!$B$15/12,"0.00")</f>
        <v>2704.9554916847951</v>
      </c>
      <c r="F54" s="32">
        <f>IF(A54&lt;='Loan Input Parameters'!$B$16,'Loan Input Parameters'!$B$23,0)</f>
        <v>69</v>
      </c>
      <c r="G54" s="32">
        <f>IF($A54&lt;'Loan Input Parameters'!$B$16,D54-E54-F54,"0.00")</f>
        <v>5157.6075622748049</v>
      </c>
      <c r="H54" s="32">
        <f>IF($A54&lt;'Loan Input Parameters'!$B$16,C54-G54,"0.00")</f>
        <v>289928.44607606652</v>
      </c>
      <c r="I54" s="45">
        <f>H54/'Loan Input Parameters'!$B$13</f>
        <v>0.57845991146594278</v>
      </c>
      <c r="J54" s="45">
        <f t="shared" ref="J54:J63" si="9">J53</f>
        <v>0.11</v>
      </c>
      <c r="K54" s="76" cm="1">
        <f t="array" ref="K54">IF(
AND(MONTH($B54)=1,SUMPRODUCT(--(MONTH($B$4:B54)=1))=1),
K53*(1-22%*J54),
IF(
AND(MONTH($B54)=1,SUMPRODUCT(--(MONTH($B$4:B54)=1))=2),
K53*(1-20%*J54),
IF($A54&lt;13,K53*(1-(J54*4%)),
IF($A54&lt;25,K53*(1-(J54*5%)),K53*(1-J54/12)
)
)
))</f>
        <v>274043.64886200265</v>
      </c>
      <c r="L54" s="76">
        <f>IF(K54*'Loan Input Parameters'!$B$41&lt;'Loan Input Parameters'!$B$42,'Loan Input Parameters'!$B$42,K54*'Loan Input Parameters'!$B$41)</f>
        <v>0</v>
      </c>
      <c r="M54" s="76">
        <f t="shared" si="0"/>
        <v>274043.64886200265</v>
      </c>
      <c r="N54" s="77">
        <f t="shared" si="6"/>
        <v>15884.797214063874</v>
      </c>
      <c r="O54" s="76">
        <f>IF('Loan Input Parameters'!$B$8*3%&lt;=4000,4000,IF('Loan Input Parameters'!$B$8*3%&gt;=18000,18000,'Loan Input Parameters'!$B$8*3%))</f>
        <v>15000</v>
      </c>
      <c r="P54" s="76">
        <f t="shared" si="1"/>
        <v>30884.797214063874</v>
      </c>
    </row>
    <row r="55" spans="1:16" ht="14.4" thickBot="1" x14ac:dyDescent="0.35">
      <c r="A55" s="75">
        <f t="shared" si="2"/>
        <v>52</v>
      </c>
      <c r="B55" s="34">
        <f t="shared" si="3"/>
        <v>46783</v>
      </c>
      <c r="C55" s="32">
        <f t="shared" si="4"/>
        <v>289928.44607606652</v>
      </c>
      <c r="D55" s="32">
        <f>IF(A55&lt;'Loan Input Parameters'!$B$16,'Loan Input Parameters'!$B$24,IF(A55='Loan Input Parameters'!$B$16,'Loan Input Parameters'!$B$24+'Loan Input Parameters'!$B$20,0))</f>
        <v>7931.5630539595995</v>
      </c>
      <c r="E55" s="32">
        <f>IF($A55&lt;'Loan Input Parameters'!$B$16,C55*'Loan Input Parameters'!$B$15/12,"0.00")</f>
        <v>2657.6774223639432</v>
      </c>
      <c r="F55" s="32">
        <f>IF(A55&lt;='Loan Input Parameters'!$B$16,'Loan Input Parameters'!$B$23,0)</f>
        <v>69</v>
      </c>
      <c r="G55" s="32">
        <f>IF($A55&lt;'Loan Input Parameters'!$B$16,D55-E55-F55,"0.00")</f>
        <v>5204.8856315956564</v>
      </c>
      <c r="H55" s="32">
        <f>IF($A55&lt;'Loan Input Parameters'!$B$16,C55-G55,"0.00")</f>
        <v>284723.56044447084</v>
      </c>
      <c r="I55" s="45">
        <f>H55/'Loan Input Parameters'!$B$13</f>
        <v>0.56807521923449045</v>
      </c>
      <c r="J55" s="45">
        <f t="shared" si="9"/>
        <v>0.11</v>
      </c>
      <c r="K55" s="76" cm="1">
        <f t="array" ref="K55">IF(
AND(MONTH($B55)=1,SUMPRODUCT(--(MONTH($B$4:B55)=1))=1),
K54*(1-22%*J55),
IF(
AND(MONTH($B55)=1,SUMPRODUCT(--(MONTH($B$4:B55)=1))=2),
K54*(1-20%*J55),
IF($A55&lt;13,K54*(1-(J55*4%)),
IF($A55&lt;25,K54*(1-(J55*5%)),K54*(1-J55/12)
)
)
))</f>
        <v>271531.58208076761</v>
      </c>
      <c r="L55" s="76">
        <f>IF(K55*'Loan Input Parameters'!$B$41&lt;'Loan Input Parameters'!$B$42,'Loan Input Parameters'!$B$42,K55*'Loan Input Parameters'!$B$41)</f>
        <v>0</v>
      </c>
      <c r="M55" s="76">
        <f t="shared" si="0"/>
        <v>271531.58208076761</v>
      </c>
      <c r="N55" s="77">
        <f t="shared" si="6"/>
        <v>13191.978363703238</v>
      </c>
      <c r="O55" s="76">
        <f>IF('Loan Input Parameters'!$B$8*3%&lt;=4000,4000,IF('Loan Input Parameters'!$B$8*3%&gt;=18000,18000,'Loan Input Parameters'!$B$8*3%))</f>
        <v>15000</v>
      </c>
      <c r="P55" s="76">
        <f t="shared" si="1"/>
        <v>28191.978363703238</v>
      </c>
    </row>
    <row r="56" spans="1:16" ht="14.4" thickBot="1" x14ac:dyDescent="0.35">
      <c r="A56" s="75">
        <f t="shared" si="2"/>
        <v>53</v>
      </c>
      <c r="B56" s="34">
        <f t="shared" si="3"/>
        <v>46812</v>
      </c>
      <c r="C56" s="32">
        <f t="shared" si="4"/>
        <v>284723.56044447084</v>
      </c>
      <c r="D56" s="32">
        <f>IF(A56&lt;'Loan Input Parameters'!$B$16,'Loan Input Parameters'!$B$24,IF(A56='Loan Input Parameters'!$B$16,'Loan Input Parameters'!$B$24+'Loan Input Parameters'!$B$20,0))</f>
        <v>7931.5630539595995</v>
      </c>
      <c r="E56" s="32">
        <f>IF($A56&lt;'Loan Input Parameters'!$B$16,C56*'Loan Input Parameters'!$B$15/12,"0.00")</f>
        <v>2609.9659707409828</v>
      </c>
      <c r="F56" s="32">
        <f>IF(A56&lt;='Loan Input Parameters'!$B$16,'Loan Input Parameters'!$B$23,0)</f>
        <v>69</v>
      </c>
      <c r="G56" s="32">
        <f>IF($A56&lt;'Loan Input Parameters'!$B$16,D56-E56-F56,"0.00")</f>
        <v>5252.5970832186167</v>
      </c>
      <c r="H56" s="32">
        <f>IF($A56&lt;'Loan Input Parameters'!$B$16,C56-G56,"0.00")</f>
        <v>279470.96336125222</v>
      </c>
      <c r="I56" s="45">
        <f>H56/'Loan Input Parameters'!$B$13</f>
        <v>0.55759533399091632</v>
      </c>
      <c r="J56" s="45">
        <f t="shared" si="9"/>
        <v>0.11</v>
      </c>
      <c r="K56" s="76" cm="1">
        <f t="array" ref="K56">IF(
AND(MONTH($B56)=1,SUMPRODUCT(--(MONTH($B$4:B56)=1))=1),
K55*(1-22%*J56),
IF(
AND(MONTH($B56)=1,SUMPRODUCT(--(MONTH($B$4:B56)=1))=2),
K55*(1-20%*J56),
IF($A56&lt;13,K55*(1-(J56*4%)),
IF($A56&lt;25,K55*(1-(J56*5%)),K55*(1-J56/12)
)
)
))</f>
        <v>269042.54257836059</v>
      </c>
      <c r="L56" s="76">
        <f>IF(K56*'Loan Input Parameters'!$B$41&lt;'Loan Input Parameters'!$B$42,'Loan Input Parameters'!$B$42,K56*'Loan Input Parameters'!$B$41)</f>
        <v>0</v>
      </c>
      <c r="M56" s="76">
        <f t="shared" si="0"/>
        <v>269042.54257836059</v>
      </c>
      <c r="N56" s="77">
        <f t="shared" si="6"/>
        <v>10428.420782891626</v>
      </c>
      <c r="O56" s="76">
        <f>IF('Loan Input Parameters'!$B$8*3%&lt;=4000,4000,IF('Loan Input Parameters'!$B$8*3%&gt;=18000,18000,'Loan Input Parameters'!$B$8*3%))</f>
        <v>15000</v>
      </c>
      <c r="P56" s="76">
        <f t="shared" si="1"/>
        <v>25428.420782891626</v>
      </c>
    </row>
    <row r="57" spans="1:16" ht="14.4" thickBot="1" x14ac:dyDescent="0.35">
      <c r="A57" s="75">
        <f t="shared" si="2"/>
        <v>54</v>
      </c>
      <c r="B57" s="34">
        <f t="shared" si="3"/>
        <v>46843</v>
      </c>
      <c r="C57" s="32">
        <f t="shared" si="4"/>
        <v>279470.96336125222</v>
      </c>
      <c r="D57" s="32">
        <f>IF(A57&lt;'Loan Input Parameters'!$B$16,'Loan Input Parameters'!$B$24,IF(A57='Loan Input Parameters'!$B$16,'Loan Input Parameters'!$B$24+'Loan Input Parameters'!$B$20,0))</f>
        <v>7931.5630539595995</v>
      </c>
      <c r="E57" s="32">
        <f>IF($A57&lt;'Loan Input Parameters'!$B$16,C57*'Loan Input Parameters'!$B$15/12,"0.00")</f>
        <v>2561.8171641448121</v>
      </c>
      <c r="F57" s="32">
        <f>IF(A57&lt;='Loan Input Parameters'!$B$16,'Loan Input Parameters'!$B$23,0)</f>
        <v>69</v>
      </c>
      <c r="G57" s="32">
        <f>IF($A57&lt;'Loan Input Parameters'!$B$16,D57-E57-F57,"0.00")</f>
        <v>5300.745889814787</v>
      </c>
      <c r="H57" s="32">
        <f>IF($A57&lt;'Loan Input Parameters'!$B$16,C57-G57,"0.00")</f>
        <v>274170.21747143741</v>
      </c>
      <c r="I57" s="45">
        <f>H57/'Loan Input Parameters'!$B$13</f>
        <v>0.54701938313260956</v>
      </c>
      <c r="J57" s="45">
        <f t="shared" si="9"/>
        <v>0.11</v>
      </c>
      <c r="K57" s="76" cm="1">
        <f t="array" ref="K57">IF(
AND(MONTH($B57)=1,SUMPRODUCT(--(MONTH($B$4:B57)=1))=1),
K56*(1-22%*J57),
IF(
AND(MONTH($B57)=1,SUMPRODUCT(--(MONTH($B$4:B57)=1))=2),
K56*(1-20%*J57),
IF($A57&lt;13,K56*(1-(J57*4%)),
IF($A57&lt;25,K56*(1-(J57*5%)),K56*(1-J57/12)
)
)
))</f>
        <v>266576.31927139231</v>
      </c>
      <c r="L57" s="76">
        <f>IF(K57*'Loan Input Parameters'!$B$41&lt;'Loan Input Parameters'!$B$42,'Loan Input Parameters'!$B$42,K57*'Loan Input Parameters'!$B$41)</f>
        <v>0</v>
      </c>
      <c r="M57" s="76">
        <f t="shared" si="0"/>
        <v>266576.31927139231</v>
      </c>
      <c r="N57" s="77">
        <f t="shared" si="6"/>
        <v>7593.8982000451069</v>
      </c>
      <c r="O57" s="76">
        <f>IF('Loan Input Parameters'!$B$8*3%&lt;=4000,4000,IF('Loan Input Parameters'!$B$8*3%&gt;=18000,18000,'Loan Input Parameters'!$B$8*3%))</f>
        <v>15000</v>
      </c>
      <c r="P57" s="76">
        <f t="shared" si="1"/>
        <v>22593.898200045107</v>
      </c>
    </row>
    <row r="58" spans="1:16" ht="14.4" thickBot="1" x14ac:dyDescent="0.35">
      <c r="A58" s="75">
        <f t="shared" si="2"/>
        <v>55</v>
      </c>
      <c r="B58" s="34">
        <f t="shared" si="3"/>
        <v>46873</v>
      </c>
      <c r="C58" s="32">
        <f t="shared" si="4"/>
        <v>274170.21747143741</v>
      </c>
      <c r="D58" s="32">
        <f>IF(A58&lt;'Loan Input Parameters'!$B$16,'Loan Input Parameters'!$B$24,IF(A58='Loan Input Parameters'!$B$16,'Loan Input Parameters'!$B$24+'Loan Input Parameters'!$B$20,0))</f>
        <v>7931.5630539595995</v>
      </c>
      <c r="E58" s="32">
        <f>IF($A58&lt;'Loan Input Parameters'!$B$16,C58*'Loan Input Parameters'!$B$15/12,"0.00")</f>
        <v>2513.2269934881765</v>
      </c>
      <c r="F58" s="32">
        <f>IF(A58&lt;='Loan Input Parameters'!$B$16,'Loan Input Parameters'!$B$23,0)</f>
        <v>69</v>
      </c>
      <c r="G58" s="32">
        <f>IF($A58&lt;'Loan Input Parameters'!$B$16,D58-E58-F58,"0.00")</f>
        <v>5349.3360604714235</v>
      </c>
      <c r="H58" s="32">
        <f>IF($A58&lt;'Loan Input Parameters'!$B$16,C58-G58,"0.00")</f>
        <v>268820.88141096599</v>
      </c>
      <c r="I58" s="45">
        <f>H58/'Loan Input Parameters'!$B$13</f>
        <v>0.53634648605810165</v>
      </c>
      <c r="J58" s="45">
        <f t="shared" si="9"/>
        <v>0.11</v>
      </c>
      <c r="K58" s="76" cm="1">
        <f t="array" ref="K58">IF(
AND(MONTH($B58)=1,SUMPRODUCT(--(MONTH($B$4:B58)=1))=1),
K57*(1-22%*J58),
IF(
AND(MONTH($B58)=1,SUMPRODUCT(--(MONTH($B$4:B58)=1))=2),
K57*(1-20%*J58),
IF($A58&lt;13,K57*(1-(J58*4%)),
IF($A58&lt;25,K57*(1-(J58*5%)),K57*(1-J58/12)
)
)
))</f>
        <v>264132.70301140455</v>
      </c>
      <c r="L58" s="76">
        <f>IF(K58*'Loan Input Parameters'!$B$41&lt;'Loan Input Parameters'!$B$42,'Loan Input Parameters'!$B$42,K58*'Loan Input Parameters'!$B$41)</f>
        <v>0</v>
      </c>
      <c r="M58" s="76">
        <f t="shared" si="0"/>
        <v>264132.70301140455</v>
      </c>
      <c r="N58" s="77">
        <f>H58-(K58-L58)</f>
        <v>4688.1783995614387</v>
      </c>
      <c r="O58" s="76">
        <f>IF('Loan Input Parameters'!$B$8*3%&lt;=4000,4000,IF('Loan Input Parameters'!$B$8*3%&gt;=18000,18000,'Loan Input Parameters'!$B$8*3%))</f>
        <v>15000</v>
      </c>
      <c r="P58" s="76">
        <f t="shared" si="1"/>
        <v>19688.178399561439</v>
      </c>
    </row>
    <row r="59" spans="1:16" ht="14.4" thickBot="1" x14ac:dyDescent="0.35">
      <c r="A59" s="75">
        <f t="shared" si="2"/>
        <v>56</v>
      </c>
      <c r="B59" s="34">
        <f t="shared" si="3"/>
        <v>46904</v>
      </c>
      <c r="C59" s="32">
        <f t="shared" si="4"/>
        <v>268820.88141096599</v>
      </c>
      <c r="D59" s="32">
        <f>IF(A59&lt;'Loan Input Parameters'!$B$16,'Loan Input Parameters'!$B$24,IF(A59='Loan Input Parameters'!$B$16,'Loan Input Parameters'!$B$24+'Loan Input Parameters'!$B$20,0))</f>
        <v>7931.5630539595995</v>
      </c>
      <c r="E59" s="32">
        <f>IF($A59&lt;'Loan Input Parameters'!$B$16,C59*'Loan Input Parameters'!$B$15/12,"0.00")</f>
        <v>2464.1914129338552</v>
      </c>
      <c r="F59" s="32">
        <f>IF(A59&lt;='Loan Input Parameters'!$B$16,'Loan Input Parameters'!$B$23,0)</f>
        <v>69</v>
      </c>
      <c r="G59" s="32">
        <f>IF($A59&lt;'Loan Input Parameters'!$B$16,D59-E59-F59,"0.00")</f>
        <v>5398.3716410257439</v>
      </c>
      <c r="H59" s="32">
        <f>IF($A59&lt;'Loan Input Parameters'!$B$16,C59-G59,"0.00")</f>
        <v>263422.50976994022</v>
      </c>
      <c r="I59" s="45">
        <f>H59/'Loan Input Parameters'!$B$13</f>
        <v>0.52557575409374402</v>
      </c>
      <c r="J59" s="45">
        <f t="shared" si="9"/>
        <v>0.11</v>
      </c>
      <c r="K59" s="76" cm="1">
        <f t="array" ref="K59">IF(
AND(MONTH($B59)=1,SUMPRODUCT(--(MONTH($B$4:B59)=1))=1),
K58*(1-22%*J59),
IF(
AND(MONTH($B59)=1,SUMPRODUCT(--(MONTH($B$4:B59)=1))=2),
K58*(1-20%*J59),
IF($A59&lt;13,K58*(1-(J59*4%)),
IF($A59&lt;25,K58*(1-(J59*5%)),K58*(1-J59/12)
)
)
))</f>
        <v>261711.48656713334</v>
      </c>
      <c r="L59" s="76">
        <f>IF(K59*'Loan Input Parameters'!$B$41&lt;'Loan Input Parameters'!$B$42,'Loan Input Parameters'!$B$42,K59*'Loan Input Parameters'!$B$41)</f>
        <v>0</v>
      </c>
      <c r="M59" s="76">
        <f t="shared" si="0"/>
        <v>261711.48656713334</v>
      </c>
      <c r="N59" s="77">
        <f t="shared" si="6"/>
        <v>1711.0232028068858</v>
      </c>
      <c r="O59" s="76">
        <f>IF('Loan Input Parameters'!$B$8*3%&lt;=4000,4000,IF('Loan Input Parameters'!$B$8*3%&gt;=18000,18000,'Loan Input Parameters'!$B$8*3%))</f>
        <v>15000</v>
      </c>
      <c r="P59" s="76">
        <f t="shared" si="1"/>
        <v>16711.023202806886</v>
      </c>
    </row>
    <row r="60" spans="1:16" ht="14.4" thickBot="1" x14ac:dyDescent="0.35">
      <c r="A60" s="75">
        <f t="shared" si="2"/>
        <v>57</v>
      </c>
      <c r="B60" s="34">
        <f t="shared" si="3"/>
        <v>46934</v>
      </c>
      <c r="C60" s="32">
        <f t="shared" si="4"/>
        <v>263422.50976994022</v>
      </c>
      <c r="D60" s="32">
        <f>IF(A60&lt;'Loan Input Parameters'!$B$16,'Loan Input Parameters'!$B$24,IF(A60='Loan Input Parameters'!$B$16,'Loan Input Parameters'!$B$24+'Loan Input Parameters'!$B$20,0))</f>
        <v>7931.5630539595995</v>
      </c>
      <c r="E60" s="32">
        <f>IF($A60&lt;'Loan Input Parameters'!$B$16,C60*'Loan Input Parameters'!$B$15/12,"0.00")</f>
        <v>2414.7063395577857</v>
      </c>
      <c r="F60" s="32">
        <f>IF(A60&lt;='Loan Input Parameters'!$B$16,'Loan Input Parameters'!$B$23,0)</f>
        <v>69</v>
      </c>
      <c r="G60" s="32">
        <f>IF($A60&lt;'Loan Input Parameters'!$B$16,D60-E60-F60,"0.00")</f>
        <v>5447.8567144018143</v>
      </c>
      <c r="H60" s="32">
        <f>IF($A60&lt;'Loan Input Parameters'!$B$16,C60-G60,"0.00")</f>
        <v>257974.65305553842</v>
      </c>
      <c r="I60" s="45">
        <f>H60/'Loan Input Parameters'!$B$13</f>
        <v>0.51470629041971327</v>
      </c>
      <c r="J60" s="45">
        <f t="shared" si="9"/>
        <v>0.11</v>
      </c>
      <c r="K60" s="76" cm="1">
        <f t="array" ref="K60">IF(
AND(MONTH($B60)=1,SUMPRODUCT(--(MONTH($B$4:B60)=1))=1),
K59*(1-22%*J60),
IF(
AND(MONTH($B60)=1,SUMPRODUCT(--(MONTH($B$4:B60)=1))=2),
K59*(1-20%*J60),
IF($A60&lt;13,K59*(1-(J60*4%)),
IF($A60&lt;25,K59*(1-(J60*5%)),K59*(1-J60/12)
)
)
))</f>
        <v>259312.46460693461</v>
      </c>
      <c r="L60" s="76">
        <f>IF(K60*'Loan Input Parameters'!$B$41&lt;'Loan Input Parameters'!$B$42,'Loan Input Parameters'!$B$42,K60*'Loan Input Parameters'!$B$41)</f>
        <v>0</v>
      </c>
      <c r="M60" s="76">
        <f t="shared" si="0"/>
        <v>259312.46460693461</v>
      </c>
      <c r="N60" s="77">
        <f t="shared" si="6"/>
        <v>-1337.811551396182</v>
      </c>
      <c r="O60" s="76">
        <f>IF('Loan Input Parameters'!$B$8*3%&lt;=4000,4000,IF('Loan Input Parameters'!$B$8*3%&gt;=18000,18000,'Loan Input Parameters'!$B$8*3%))</f>
        <v>15000</v>
      </c>
      <c r="P60" s="76">
        <f t="shared" si="1"/>
        <v>15000</v>
      </c>
    </row>
    <row r="61" spans="1:16" ht="14.4" thickBot="1" x14ac:dyDescent="0.35">
      <c r="A61" s="75">
        <f t="shared" si="2"/>
        <v>58</v>
      </c>
      <c r="B61" s="34">
        <f t="shared" si="3"/>
        <v>46965</v>
      </c>
      <c r="C61" s="32">
        <f t="shared" si="4"/>
        <v>257974.65305553842</v>
      </c>
      <c r="D61" s="32">
        <f>IF(A61&lt;'Loan Input Parameters'!$B$16,'Loan Input Parameters'!$B$24,IF(A61='Loan Input Parameters'!$B$16,'Loan Input Parameters'!$B$24+'Loan Input Parameters'!$B$20,0))</f>
        <v>7931.5630539595995</v>
      </c>
      <c r="E61" s="32">
        <f>IF($A61&lt;'Loan Input Parameters'!$B$16,C61*'Loan Input Parameters'!$B$15/12,"0.00")</f>
        <v>2364.7676530091021</v>
      </c>
      <c r="F61" s="32">
        <f>IF(A61&lt;='Loan Input Parameters'!$B$16,'Loan Input Parameters'!$B$23,0)</f>
        <v>69</v>
      </c>
      <c r="G61" s="32">
        <f>IF($A61&lt;'Loan Input Parameters'!$B$16,D61-E61-F61,"0.00")</f>
        <v>5497.7954009504974</v>
      </c>
      <c r="H61" s="32">
        <f>IF($A61&lt;'Loan Input Parameters'!$B$16,C61-G61,"0.00")</f>
        <v>252476.85765458792</v>
      </c>
      <c r="I61" s="45">
        <f>H61/'Loan Input Parameters'!$B$13</f>
        <v>0.50373718999533712</v>
      </c>
      <c r="J61" s="45">
        <f t="shared" si="9"/>
        <v>0.11</v>
      </c>
      <c r="K61" s="76" cm="1">
        <f t="array" ref="K61">IF(
AND(MONTH($B61)=1,SUMPRODUCT(--(MONTH($B$4:B61)=1))=1),
K60*(1-22%*J61),
IF(
AND(MONTH($B61)=1,SUMPRODUCT(--(MONTH($B$4:B61)=1))=2),
K60*(1-20%*J61),
IF($A61&lt;13,K60*(1-(J61*4%)),
IF($A61&lt;25,K60*(1-(J61*5%)),K60*(1-J61/12)
)
)
))</f>
        <v>256935.43368137104</v>
      </c>
      <c r="L61" s="76">
        <f>IF(K61*'Loan Input Parameters'!$B$41&lt;'Loan Input Parameters'!$B$42,'Loan Input Parameters'!$B$42,K61*'Loan Input Parameters'!$B$41)</f>
        <v>0</v>
      </c>
      <c r="M61" s="76">
        <f t="shared" si="0"/>
        <v>256935.43368137104</v>
      </c>
      <c r="N61" s="77">
        <f t="shared" si="6"/>
        <v>-4458.5760267831211</v>
      </c>
      <c r="O61" s="76">
        <f>IF('Loan Input Parameters'!$B$8*3%&lt;=4000,4000,IF('Loan Input Parameters'!$B$8*3%&gt;=18000,18000,'Loan Input Parameters'!$B$8*3%))</f>
        <v>15000</v>
      </c>
      <c r="P61" s="76">
        <f t="shared" si="1"/>
        <v>15000</v>
      </c>
    </row>
    <row r="62" spans="1:16" ht="14.4" thickBot="1" x14ac:dyDescent="0.35">
      <c r="A62" s="75">
        <f t="shared" si="2"/>
        <v>59</v>
      </c>
      <c r="B62" s="34">
        <f t="shared" si="3"/>
        <v>46996</v>
      </c>
      <c r="C62" s="32">
        <f t="shared" si="4"/>
        <v>252476.85765458792</v>
      </c>
      <c r="D62" s="32">
        <f>IF(A62&lt;'Loan Input Parameters'!$B$16,'Loan Input Parameters'!$B$24,IF(A62='Loan Input Parameters'!$B$16,'Loan Input Parameters'!$B$24+'Loan Input Parameters'!$B$20,0))</f>
        <v>7931.5630539595995</v>
      </c>
      <c r="E62" s="32">
        <f>IF($A62&lt;'Loan Input Parameters'!$B$16,C62*'Loan Input Parameters'!$B$15/12,"0.00")</f>
        <v>2314.3711951670562</v>
      </c>
      <c r="F62" s="32">
        <f>IF(A62&lt;='Loan Input Parameters'!$B$16,'Loan Input Parameters'!$B$23,0)</f>
        <v>69</v>
      </c>
      <c r="G62" s="32">
        <f>IF($A62&lt;'Loan Input Parameters'!$B$16,D62-E62-F62,"0.00")</f>
        <v>5548.1918587925429</v>
      </c>
      <c r="H62" s="32">
        <f>IF($A62&lt;'Loan Input Parameters'!$B$16,C62-G62,"0.00")</f>
        <v>246928.66579579539</v>
      </c>
      <c r="I62" s="45">
        <f>H62/'Loan Input Parameters'!$B$13</f>
        <v>0.49266753948373754</v>
      </c>
      <c r="J62" s="45">
        <f t="shared" si="9"/>
        <v>0.11</v>
      </c>
      <c r="K62" s="76" cm="1">
        <f t="array" ref="K62">IF(
AND(MONTH($B62)=1,SUMPRODUCT(--(MONTH($B$4:B62)=1))=1),
K61*(1-22%*J62),
IF(
AND(MONTH($B62)=1,SUMPRODUCT(--(MONTH($B$4:B62)=1))=2),
K61*(1-20%*J62),
IF($A62&lt;13,K61*(1-(J62*4%)),
IF($A62&lt;25,K61*(1-(J62*5%)),K61*(1-J62/12)
)
)
))</f>
        <v>254580.19220595848</v>
      </c>
      <c r="L62" s="76">
        <f>IF(K62*'Loan Input Parameters'!$B$41&lt;'Loan Input Parameters'!$B$42,'Loan Input Parameters'!$B$42,K62*'Loan Input Parameters'!$B$41)</f>
        <v>0</v>
      </c>
      <c r="M62" s="76">
        <f t="shared" si="0"/>
        <v>254580.19220595848</v>
      </c>
      <c r="N62" s="77">
        <f t="shared" si="6"/>
        <v>-7651.5264101630892</v>
      </c>
      <c r="O62" s="76">
        <f>IF('Loan Input Parameters'!$B$8*3%&lt;=4000,4000,IF('Loan Input Parameters'!$B$8*3%&gt;=18000,18000,'Loan Input Parameters'!$B$8*3%))</f>
        <v>15000</v>
      </c>
      <c r="P62" s="76">
        <f t="shared" si="1"/>
        <v>15000</v>
      </c>
    </row>
    <row r="63" spans="1:16" ht="14.4" thickBot="1" x14ac:dyDescent="0.35">
      <c r="A63" s="75">
        <f t="shared" si="2"/>
        <v>60</v>
      </c>
      <c r="B63" s="34">
        <f t="shared" si="3"/>
        <v>47026</v>
      </c>
      <c r="C63" s="32">
        <f t="shared" si="4"/>
        <v>246928.66579579539</v>
      </c>
      <c r="D63" s="32">
        <f>IF(A63&lt;'Loan Input Parameters'!$B$16,'Loan Input Parameters'!$B$24,IF(A63='Loan Input Parameters'!$B$16,'Loan Input Parameters'!$B$24+'Loan Input Parameters'!$B$20,0))</f>
        <v>7931.5630539595995</v>
      </c>
      <c r="E63" s="32">
        <f>IF($A63&lt;'Loan Input Parameters'!$B$16,C63*'Loan Input Parameters'!$B$15/12,"0.00")</f>
        <v>2263.512769794791</v>
      </c>
      <c r="F63" s="32">
        <f>IF(A63&lt;='Loan Input Parameters'!$B$16,'Loan Input Parameters'!$B$23,0)</f>
        <v>69</v>
      </c>
      <c r="G63" s="32">
        <f>IF($A63&lt;'Loan Input Parameters'!$B$16,D63-E63-F63,"0.00")</f>
        <v>5599.0502841648085</v>
      </c>
      <c r="H63" s="32">
        <f>IF($A63&lt;'Loan Input Parameters'!$B$16,C63-G63,"0.00")</f>
        <v>241329.61551163057</v>
      </c>
      <c r="I63" s="45">
        <f>H63/'Loan Input Parameters'!$B$13</f>
        <v>0.48149641717578162</v>
      </c>
      <c r="J63" s="45">
        <f t="shared" si="9"/>
        <v>0.11</v>
      </c>
      <c r="K63" s="76" cm="1">
        <f t="array" ref="K63">IF(
AND(MONTH($B63)=1,SUMPRODUCT(--(MONTH($B$4:B63)=1))=1),
K62*(1-22%*J63),
IF(
AND(MONTH($B63)=1,SUMPRODUCT(--(MONTH($B$4:B63)=1))=2),
K62*(1-20%*J63),
IF($A63&lt;13,K62*(1-(J63*4%)),
IF($A63&lt;25,K62*(1-(J63*5%)),K62*(1-J63/12)
)
)
))</f>
        <v>252246.54044407053</v>
      </c>
      <c r="L63" s="76">
        <f>IF(K63*'Loan Input Parameters'!$B$41&lt;'Loan Input Parameters'!$B$42,'Loan Input Parameters'!$B$42,K63*'Loan Input Parameters'!$B$41)</f>
        <v>0</v>
      </c>
      <c r="M63" s="76">
        <f t="shared" si="0"/>
        <v>252246.54044407053</v>
      </c>
      <c r="N63" s="77">
        <f t="shared" si="6"/>
        <v>-10916.924932439957</v>
      </c>
      <c r="O63" s="76">
        <f>IF('Loan Input Parameters'!$B$8*3%&lt;=4000,4000,IF('Loan Input Parameters'!$B$8*3%&gt;=18000,18000,'Loan Input Parameters'!$B$8*3%))</f>
        <v>15000</v>
      </c>
      <c r="P63" s="76">
        <f t="shared" si="1"/>
        <v>15000</v>
      </c>
    </row>
    <row r="64" spans="1:16" ht="14.4" thickBot="1" x14ac:dyDescent="0.35">
      <c r="A64" s="75">
        <f t="shared" si="2"/>
        <v>61</v>
      </c>
      <c r="B64" s="34">
        <f t="shared" si="3"/>
        <v>47057</v>
      </c>
      <c r="C64" s="32">
        <f t="shared" si="4"/>
        <v>241329.61551163057</v>
      </c>
      <c r="D64" s="32">
        <f>IF(A64&lt;'Loan Input Parameters'!$B$16,'Loan Input Parameters'!$B$24,IF(A64='Loan Input Parameters'!$B$16,'Loan Input Parameters'!$B$24+'Loan Input Parameters'!$B$20,0))</f>
        <v>7931.5630539595995</v>
      </c>
      <c r="E64" s="32">
        <f>IF($A64&lt;'Loan Input Parameters'!$B$16,C64*'Loan Input Parameters'!$B$15/12,"0.00")</f>
        <v>2212.188142189947</v>
      </c>
      <c r="F64" s="32">
        <f>IF(A64&lt;='Loan Input Parameters'!$B$16,'Loan Input Parameters'!$B$23,0)</f>
        <v>69</v>
      </c>
      <c r="G64" s="32">
        <f>IF($A64&lt;'Loan Input Parameters'!$B$16,D64-E64-F64,"0.00")</f>
        <v>5650.3749117696525</v>
      </c>
      <c r="H64" s="32">
        <f>IF($A64&lt;'Loan Input Parameters'!$B$16,C64-G64,"0.00")</f>
        <v>235679.24059986093</v>
      </c>
      <c r="I64" s="45">
        <f>H64/'Loan Input Parameters'!$B$13</f>
        <v>0.47022289291333613</v>
      </c>
      <c r="J64" s="45">
        <f>IF('Loan Input Parameters'!$B$32="Overide",'Loan Input Parameters'!$C$39,'Loan Input Parameters'!$B$39)</f>
        <v>0.1</v>
      </c>
      <c r="K64" s="76" cm="1">
        <f t="array" ref="K64">IF(
AND(MONTH($B64)=1,SUMPRODUCT(--(MONTH($B$4:B64)=1))=1),
K63*(1-22%*J64),
IF(
AND(MONTH($B64)=1,SUMPRODUCT(--(MONTH($B$4:B64)=1))=2),
K63*(1-20%*J64),
IF($A64&lt;13,K63*(1-(J64*4%)),
IF($A64&lt;25,K63*(1-(J64*5%)),K63*(1-J64/12)
)
)
))</f>
        <v>250144.48594036995</v>
      </c>
      <c r="L64" s="76">
        <f>IF(K64*'Loan Input Parameters'!$B$41&lt;'Loan Input Parameters'!$B$42,'Loan Input Parameters'!$B$42,K64*'Loan Input Parameters'!$B$41)</f>
        <v>0</v>
      </c>
      <c r="M64" s="76">
        <f>IFERROR(K64-L64,"")</f>
        <v>250144.48594036995</v>
      </c>
      <c r="N64" s="77">
        <f>IFERROR(H64-(K64-L64),"")</f>
        <v>-14465.24534050902</v>
      </c>
      <c r="O64" s="76">
        <f>IF('Loan Input Parameters'!$B$8*3%&lt;=4000,4000,IF('Loan Input Parameters'!$B$8*3%&gt;=18000,18000,'Loan Input Parameters'!$B$8*3%))</f>
        <v>15000</v>
      </c>
      <c r="P64" s="76">
        <f t="shared" si="1"/>
        <v>15000</v>
      </c>
    </row>
    <row r="65" spans="1:16" ht="14.4" thickBot="1" x14ac:dyDescent="0.35">
      <c r="A65" s="75">
        <f t="shared" si="2"/>
        <v>62</v>
      </c>
      <c r="B65" s="34">
        <f t="shared" si="3"/>
        <v>47087</v>
      </c>
      <c r="C65" s="32">
        <f t="shared" si="4"/>
        <v>235679.24059986093</v>
      </c>
      <c r="D65" s="32">
        <f>IF(A65&lt;'Loan Input Parameters'!$B$16,'Loan Input Parameters'!$B$24,IF(A65='Loan Input Parameters'!$B$16,'Loan Input Parameters'!$B$24+'Loan Input Parameters'!$B$20,0))</f>
        <v>7931.5630539595995</v>
      </c>
      <c r="E65" s="32">
        <f>IF($A65&lt;'Loan Input Parameters'!$B$16,C65*'Loan Input Parameters'!$B$15/12,"0.00")</f>
        <v>2160.3930388320587</v>
      </c>
      <c r="F65" s="32">
        <f>IF(A65&lt;='Loan Input Parameters'!$B$16,'Loan Input Parameters'!$B$23,0)</f>
        <v>69</v>
      </c>
      <c r="G65" s="32">
        <f>IF($A65&lt;'Loan Input Parameters'!$B$16,D65-E65-F65,"0.00")</f>
        <v>5702.1700151275409</v>
      </c>
      <c r="H65" s="32">
        <f>IF($A65&lt;'Loan Input Parameters'!$B$16,C65-G65,"0.00")</f>
        <v>229977.07058473339</v>
      </c>
      <c r="I65" s="45">
        <f>H65/'Loan Input Parameters'!$B$13</f>
        <v>0.45884602801181823</v>
      </c>
      <c r="J65" s="45">
        <f>J64</f>
        <v>0.1</v>
      </c>
      <c r="K65" s="76" cm="1">
        <f t="array" ref="K65">IF(
AND(MONTH($B65)=1,SUMPRODUCT(--(MONTH($B$4:B65)=1))=1),
K64*(1-22%*J65),
IF(
AND(MONTH($B65)=1,SUMPRODUCT(--(MONTH($B$4:B65)=1))=2),
K64*(1-20%*J65),
IF($A65&lt;13,K64*(1-(J65*4%)),
IF($A65&lt;25,K64*(1-(J65*5%)),K64*(1-J65/12)
)
)
))</f>
        <v>248059.94855753356</v>
      </c>
      <c r="L65" s="76">
        <f>IF(K65*'Loan Input Parameters'!$B$41&lt;'Loan Input Parameters'!$B$42,'Loan Input Parameters'!$B$42,K65*'Loan Input Parameters'!$B$41)</f>
        <v>0</v>
      </c>
      <c r="M65" s="76">
        <f t="shared" ref="M65:M75" si="10">IFERROR(K65-L65,"")</f>
        <v>248059.94855753356</v>
      </c>
      <c r="N65" s="77">
        <f t="shared" ref="N65:N75" si="11">IFERROR(H65-(K65-L65),"")</f>
        <v>-18082.877972800168</v>
      </c>
      <c r="O65" s="76">
        <f>IF('Loan Input Parameters'!$B$8*3%&lt;=4000,4000,IF('Loan Input Parameters'!$B$8*3%&gt;=18000,18000,'Loan Input Parameters'!$B$8*3%))</f>
        <v>15000</v>
      </c>
      <c r="P65" s="76">
        <f t="shared" si="1"/>
        <v>15000</v>
      </c>
    </row>
    <row r="66" spans="1:16" ht="14.4" thickBot="1" x14ac:dyDescent="0.35">
      <c r="A66" s="75">
        <f t="shared" si="2"/>
        <v>63</v>
      </c>
      <c r="B66" s="34">
        <f t="shared" si="3"/>
        <v>47118</v>
      </c>
      <c r="C66" s="32">
        <f t="shared" si="4"/>
        <v>229977.07058473339</v>
      </c>
      <c r="D66" s="32">
        <f>IF(A66&lt;'Loan Input Parameters'!$B$16,'Loan Input Parameters'!$B$24,IF(A66='Loan Input Parameters'!$B$16,'Loan Input Parameters'!$B$24+'Loan Input Parameters'!$B$20,0))</f>
        <v>7931.5630539595995</v>
      </c>
      <c r="E66" s="32">
        <f>IF($A66&lt;'Loan Input Parameters'!$B$16,C66*'Loan Input Parameters'!$B$15/12,"0.00")</f>
        <v>2108.1231470267226</v>
      </c>
      <c r="F66" s="32">
        <f>IF(A66&lt;='Loan Input Parameters'!$B$16,'Loan Input Parameters'!$B$23,0)</f>
        <v>69</v>
      </c>
      <c r="G66" s="32">
        <f>IF($A66&lt;'Loan Input Parameters'!$B$16,D66-E66-F66,"0.00")</f>
        <v>5754.4399069328774</v>
      </c>
      <c r="H66" s="32">
        <f>IF($A66&lt;'Loan Input Parameters'!$B$16,C66-G66,"0.00")</f>
        <v>224222.63067780051</v>
      </c>
      <c r="I66" s="45">
        <f>H66/'Loan Input Parameters'!$B$13</f>
        <v>0.44736487518203638</v>
      </c>
      <c r="J66" s="45">
        <f t="shared" ref="J66:J99" si="12">J65</f>
        <v>0.1</v>
      </c>
      <c r="K66" s="76" cm="1">
        <f t="array" ref="K66">IF(
AND(MONTH($B66)=1,SUMPRODUCT(--(MONTH($B$4:B66)=1))=1),
K65*(1-22%*J66),
IF(
AND(MONTH($B66)=1,SUMPRODUCT(--(MONTH($B$4:B66)=1))=2),
K65*(1-20%*J66),
IF($A66&lt;13,K65*(1-(J66*4%)),
IF($A66&lt;25,K65*(1-(J66*5%)),K65*(1-J66/12)
)
)
))</f>
        <v>245992.78231955413</v>
      </c>
      <c r="L66" s="76">
        <f>IF(K66*'Loan Input Parameters'!$B$41&lt;'Loan Input Parameters'!$B$42,'Loan Input Parameters'!$B$42,K66*'Loan Input Parameters'!$B$41)</f>
        <v>0</v>
      </c>
      <c r="M66" s="76">
        <f t="shared" si="10"/>
        <v>245992.78231955413</v>
      </c>
      <c r="N66" s="77">
        <f t="shared" si="11"/>
        <v>-21770.151641753619</v>
      </c>
      <c r="O66" s="76">
        <f>IF('Loan Input Parameters'!$B$8*3%&lt;=4000,4000,IF('Loan Input Parameters'!$B$8*3%&gt;=18000,18000,'Loan Input Parameters'!$B$8*3%))</f>
        <v>15000</v>
      </c>
      <c r="P66" s="76">
        <f t="shared" si="1"/>
        <v>15000</v>
      </c>
    </row>
    <row r="67" spans="1:16" ht="14.4" thickBot="1" x14ac:dyDescent="0.35">
      <c r="A67" s="75">
        <f t="shared" si="2"/>
        <v>64</v>
      </c>
      <c r="B67" s="34">
        <f t="shared" si="3"/>
        <v>47149</v>
      </c>
      <c r="C67" s="32">
        <f t="shared" si="4"/>
        <v>224222.63067780051</v>
      </c>
      <c r="D67" s="32">
        <f>IF(A67&lt;'Loan Input Parameters'!$B$16,'Loan Input Parameters'!$B$24,IF(A67='Loan Input Parameters'!$B$16,'Loan Input Parameters'!$B$24+'Loan Input Parameters'!$B$20,0))</f>
        <v>7931.5630539595995</v>
      </c>
      <c r="E67" s="32">
        <f>IF($A67&lt;'Loan Input Parameters'!$B$16,C67*'Loan Input Parameters'!$B$15/12,"0.00")</f>
        <v>2055.3741145465046</v>
      </c>
      <c r="F67" s="32">
        <f>IF(A67&lt;='Loan Input Parameters'!$B$16,'Loan Input Parameters'!$B$23,0)</f>
        <v>69</v>
      </c>
      <c r="G67" s="32">
        <f>IF($A67&lt;'Loan Input Parameters'!$B$16,D67-E67-F67,"0.00")</f>
        <v>5807.1889394130949</v>
      </c>
      <c r="H67" s="32">
        <f>IF($A67&lt;'Loan Input Parameters'!$B$16,C67-G67,"0.00")</f>
        <v>218415.44173838742</v>
      </c>
      <c r="I67" s="45">
        <f>H67/'Loan Input Parameters'!$B$13</f>
        <v>0.4357784784513149</v>
      </c>
      <c r="J67" s="45">
        <f t="shared" si="12"/>
        <v>0.1</v>
      </c>
      <c r="K67" s="76" cm="1">
        <f t="array" ref="K67">IF(
AND(MONTH($B67)=1,SUMPRODUCT(--(MONTH($B$4:B67)=1))=1),
K66*(1-22%*J67),
IF(
AND(MONTH($B67)=1,SUMPRODUCT(--(MONTH($B$4:B67)=1))=2),
K66*(1-20%*J67),
IF($A67&lt;13,K66*(1-(J67*4%)),
IF($A67&lt;25,K66*(1-(J67*5%)),K66*(1-J67/12)
)
)
))</f>
        <v>243942.84246689119</v>
      </c>
      <c r="L67" s="76">
        <f>IF(K67*'Loan Input Parameters'!$B$41&lt;'Loan Input Parameters'!$B$42,'Loan Input Parameters'!$B$42,K67*'Loan Input Parameters'!$B$41)</f>
        <v>0</v>
      </c>
      <c r="M67" s="76">
        <f t="shared" si="10"/>
        <v>243942.84246689119</v>
      </c>
      <c r="N67" s="77">
        <f t="shared" si="11"/>
        <v>-25527.400728503766</v>
      </c>
      <c r="O67" s="76">
        <f>IF('Loan Input Parameters'!$B$8*3%&lt;=4000,4000,IF('Loan Input Parameters'!$B$8*3%&gt;=18000,18000,'Loan Input Parameters'!$B$8*3%))</f>
        <v>15000</v>
      </c>
      <c r="P67" s="76">
        <f t="shared" si="1"/>
        <v>15000</v>
      </c>
    </row>
    <row r="68" spans="1:16" ht="14.4" thickBot="1" x14ac:dyDescent="0.35">
      <c r="A68" s="75">
        <f t="shared" si="2"/>
        <v>65</v>
      </c>
      <c r="B68" s="34">
        <f t="shared" si="3"/>
        <v>47177</v>
      </c>
      <c r="C68" s="32">
        <f t="shared" si="4"/>
        <v>218415.44173838742</v>
      </c>
      <c r="D68" s="32">
        <f>IF(A68&lt;'Loan Input Parameters'!$B$16,'Loan Input Parameters'!$B$24,IF(A68='Loan Input Parameters'!$B$16,'Loan Input Parameters'!$B$24+'Loan Input Parameters'!$B$20,0))</f>
        <v>7931.5630539595995</v>
      </c>
      <c r="E68" s="32">
        <f>IF($A68&lt;'Loan Input Parameters'!$B$16,C68*'Loan Input Parameters'!$B$15/12,"0.00")</f>
        <v>2002.1415492685512</v>
      </c>
      <c r="F68" s="32">
        <f>IF(A68&lt;='Loan Input Parameters'!$B$16,'Loan Input Parameters'!$B$23,0)</f>
        <v>69</v>
      </c>
      <c r="G68" s="32">
        <f>IF($A68&lt;'Loan Input Parameters'!$B$16,D68-E68-F68,"0.00")</f>
        <v>5860.4215046910485</v>
      </c>
      <c r="H68" s="32">
        <f>IF($A68&lt;'Loan Input Parameters'!$B$16,C68-G68,"0.00")</f>
        <v>212555.02023369638</v>
      </c>
      <c r="I68" s="45">
        <f>H68/'Loan Input Parameters'!$B$13</f>
        <v>0.42408587308389517</v>
      </c>
      <c r="J68" s="45">
        <f t="shared" si="12"/>
        <v>0.1</v>
      </c>
      <c r="K68" s="76" cm="1">
        <f t="array" ref="K68">IF(
AND(MONTH($B68)=1,SUMPRODUCT(--(MONTH($B$4:B68)=1))=1),
K67*(1-22%*J68),
IF(
AND(MONTH($B68)=1,SUMPRODUCT(--(MONTH($B$4:B68)=1))=2),
K67*(1-20%*J68),
IF($A68&lt;13,K67*(1-(J68*4%)),
IF($A68&lt;25,K67*(1-(J68*5%)),K67*(1-J68/12)
)
)
))</f>
        <v>241909.98544633377</v>
      </c>
      <c r="L68" s="76">
        <f>IF(K68*'Loan Input Parameters'!$B$41&lt;'Loan Input Parameters'!$B$42,'Loan Input Parameters'!$B$42,K68*'Loan Input Parameters'!$B$41)</f>
        <v>0</v>
      </c>
      <c r="M68" s="76">
        <f t="shared" si="10"/>
        <v>241909.98544633377</v>
      </c>
      <c r="N68" s="77">
        <f t="shared" si="11"/>
        <v>-29354.965212637384</v>
      </c>
      <c r="O68" s="76">
        <f>IF('Loan Input Parameters'!$B$8*3%&lt;=4000,4000,IF('Loan Input Parameters'!$B$8*3%&gt;=18000,18000,'Loan Input Parameters'!$B$8*3%))</f>
        <v>15000</v>
      </c>
      <c r="P68" s="76">
        <f t="shared" si="1"/>
        <v>15000</v>
      </c>
    </row>
    <row r="69" spans="1:16" ht="14.4" thickBot="1" x14ac:dyDescent="0.35">
      <c r="A69" s="75">
        <f t="shared" si="2"/>
        <v>66</v>
      </c>
      <c r="B69" s="34">
        <f t="shared" si="3"/>
        <v>47208</v>
      </c>
      <c r="C69" s="32">
        <f t="shared" ref="C69:C74" si="13">IF(ROUND(H68,0)&gt;0,H68,0)</f>
        <v>212555.02023369638</v>
      </c>
      <c r="D69" s="32">
        <f>IF(A69&lt;'Loan Input Parameters'!$B$16,'Loan Input Parameters'!$B$24,IF(A69='Loan Input Parameters'!$B$16,'Loan Input Parameters'!$B$24+'Loan Input Parameters'!$B$20,0))</f>
        <v>7931.5630539595995</v>
      </c>
      <c r="E69" s="32">
        <f>IF($A69&lt;'Loan Input Parameters'!$B$16,C69*'Loan Input Parameters'!$B$15/12,"0.00")</f>
        <v>1948.4210188088837</v>
      </c>
      <c r="F69" s="32">
        <f>IF(A69&lt;='Loan Input Parameters'!$B$16,'Loan Input Parameters'!$B$23,0)</f>
        <v>69</v>
      </c>
      <c r="G69" s="32">
        <f>IF($A69&lt;'Loan Input Parameters'!$B$16,D69-E69-F69,"0.00")</f>
        <v>5914.1420351507159</v>
      </c>
      <c r="H69" s="32">
        <f>IF($A69&lt;'Loan Input Parameters'!$B$16,C69-G69,"0.00")</f>
        <v>206640.87819854566</v>
      </c>
      <c r="I69" s="45">
        <f>H69/'Loan Input Parameters'!$B$13</f>
        <v>0.41228608550060736</v>
      </c>
      <c r="J69" s="45">
        <f t="shared" si="12"/>
        <v>0.1</v>
      </c>
      <c r="K69" s="76" cm="1">
        <f t="array" ref="K69">IF(
AND(MONTH($B69)=1,SUMPRODUCT(--(MONTH($B$4:B69)=1))=1),
K68*(1-22%*J69),
IF(
AND(MONTH($B69)=1,SUMPRODUCT(--(MONTH($B$4:B69)=1))=2),
K68*(1-20%*J69),
IF($A69&lt;13,K68*(1-(J69*4%)),
IF($A69&lt;25,K68*(1-(J69*5%)),K68*(1-J69/12)
)
)
))</f>
        <v>239894.06890094766</v>
      </c>
      <c r="L69" s="76">
        <f>IF(K69*'Loan Input Parameters'!$B$41&lt;'Loan Input Parameters'!$B$42,'Loan Input Parameters'!$B$42,K69*'Loan Input Parameters'!$B$41)</f>
        <v>0</v>
      </c>
      <c r="M69" s="76">
        <f t="shared" si="10"/>
        <v>239894.06890094766</v>
      </c>
      <c r="N69" s="77">
        <f t="shared" si="11"/>
        <v>-33253.190702402004</v>
      </c>
      <c r="O69" s="76">
        <f>IF('Loan Input Parameters'!$B$8*3%&lt;=4000,4000,IF('Loan Input Parameters'!$B$8*3%&gt;=18000,18000,'Loan Input Parameters'!$B$8*3%))</f>
        <v>15000</v>
      </c>
      <c r="P69" s="76">
        <f t="shared" ref="P69:P99" si="14">IF(N69&lt;0,O69,N69+O69)</f>
        <v>15000</v>
      </c>
    </row>
    <row r="70" spans="1:16" ht="14.4" thickBot="1" x14ac:dyDescent="0.35">
      <c r="A70" s="75">
        <f t="shared" ref="A70:A99" si="15">A69+1</f>
        <v>67</v>
      </c>
      <c r="B70" s="34">
        <f t="shared" ref="B70:B99" si="16">EOMONTH(B69,1)</f>
        <v>47238</v>
      </c>
      <c r="C70" s="32">
        <f t="shared" si="13"/>
        <v>206640.87819854566</v>
      </c>
      <c r="D70" s="32">
        <f>IF(A70&lt;'Loan Input Parameters'!$B$16,'Loan Input Parameters'!$B$24,IF(A70='Loan Input Parameters'!$B$16,'Loan Input Parameters'!$B$24+'Loan Input Parameters'!$B$20,0))</f>
        <v>7931.5630539595995</v>
      </c>
      <c r="E70" s="32">
        <f>IF($A70&lt;'Loan Input Parameters'!$B$16,C70*'Loan Input Parameters'!$B$15/12,"0.00")</f>
        <v>1894.2080501533353</v>
      </c>
      <c r="F70" s="32">
        <f>IF(A70&lt;='Loan Input Parameters'!$B$16,'Loan Input Parameters'!$B$23,0)</f>
        <v>69</v>
      </c>
      <c r="G70" s="32">
        <f>IF($A70&lt;'Loan Input Parameters'!$B$16,D70-E70-F70,"0.00")</f>
        <v>5968.355003806264</v>
      </c>
      <c r="H70" s="32">
        <f>IF($A70&lt;'Loan Input Parameters'!$B$16,C70-G70,"0.00")</f>
        <v>200672.52319473939</v>
      </c>
      <c r="I70" s="45">
        <f>H70/'Loan Input Parameters'!$B$13</f>
        <v>0.40037813319780607</v>
      </c>
      <c r="J70" s="45">
        <f t="shared" si="12"/>
        <v>0.1</v>
      </c>
      <c r="K70" s="76" cm="1">
        <f t="array" ref="K70">IF(
AND(MONTH($B70)=1,SUMPRODUCT(--(MONTH($B$4:B70)=1))=1),
K69*(1-22%*J70),
IF(
AND(MONTH($B70)=1,SUMPRODUCT(--(MONTH($B$4:B70)=1))=2),
K69*(1-20%*J70),
IF($A70&lt;13,K69*(1-(J70*4%)),
IF($A70&lt;25,K69*(1-(J70*5%)),K69*(1-J70/12)
)
)
))</f>
        <v>237894.95166010645</v>
      </c>
      <c r="L70" s="76">
        <f>IF(K70*'Loan Input Parameters'!$B$41&lt;'Loan Input Parameters'!$B$42,'Loan Input Parameters'!$B$42,K70*'Loan Input Parameters'!$B$41)</f>
        <v>0</v>
      </c>
      <c r="M70" s="76">
        <f t="shared" si="10"/>
        <v>237894.95166010645</v>
      </c>
      <c r="N70" s="77">
        <f t="shared" si="11"/>
        <v>-37222.428465367062</v>
      </c>
      <c r="O70" s="76">
        <f>IF('Loan Input Parameters'!$B$8*3%&lt;=4000,4000,IF('Loan Input Parameters'!$B$8*3%&gt;=18000,18000,'Loan Input Parameters'!$B$8*3%))</f>
        <v>15000</v>
      </c>
      <c r="P70" s="76">
        <f t="shared" si="14"/>
        <v>15000</v>
      </c>
    </row>
    <row r="71" spans="1:16" ht="14.4" thickBot="1" x14ac:dyDescent="0.35">
      <c r="A71" s="75">
        <f t="shared" si="15"/>
        <v>68</v>
      </c>
      <c r="B71" s="34">
        <f t="shared" si="16"/>
        <v>47269</v>
      </c>
      <c r="C71" s="32">
        <f t="shared" si="13"/>
        <v>200672.52319473939</v>
      </c>
      <c r="D71" s="32">
        <f>IF(A71&lt;'Loan Input Parameters'!$B$16,'Loan Input Parameters'!$B$24,IF(A71='Loan Input Parameters'!$B$16,'Loan Input Parameters'!$B$24+'Loan Input Parameters'!$B$20,0))</f>
        <v>7931.5630539595995</v>
      </c>
      <c r="E71" s="32">
        <f>IF($A71&lt;'Loan Input Parameters'!$B$16,C71*'Loan Input Parameters'!$B$15/12,"0.00")</f>
        <v>1839.498129285111</v>
      </c>
      <c r="F71" s="32">
        <f>IF(A71&lt;='Loan Input Parameters'!$B$16,'Loan Input Parameters'!$B$23,0)</f>
        <v>69</v>
      </c>
      <c r="G71" s="32">
        <f>IF($A71&lt;'Loan Input Parameters'!$B$16,D71-E71-F71,"0.00")</f>
        <v>6023.0649246744888</v>
      </c>
      <c r="H71" s="32">
        <f>IF($A71&lt;'Loan Input Parameters'!$B$16,C71-G71,"0.00")</f>
        <v>194649.4582700649</v>
      </c>
      <c r="I71" s="45">
        <f>H71/'Loan Input Parameters'!$B$13</f>
        <v>0.38836102466556249</v>
      </c>
      <c r="J71" s="45">
        <f t="shared" si="12"/>
        <v>0.1</v>
      </c>
      <c r="K71" s="76" cm="1">
        <f t="array" ref="K71">IF(
AND(MONTH($B71)=1,SUMPRODUCT(--(MONTH($B$4:B71)=1))=1),
K70*(1-22%*J71),
IF(
AND(MONTH($B71)=1,SUMPRODUCT(--(MONTH($B$4:B71)=1))=2),
K70*(1-20%*J71),
IF($A71&lt;13,K70*(1-(J71*4%)),
IF($A71&lt;25,K70*(1-(J71*5%)),K70*(1-J71/12)
)
)
))</f>
        <v>235912.49372960557</v>
      </c>
      <c r="L71" s="76">
        <f>IF(K71*'Loan Input Parameters'!$B$41&lt;'Loan Input Parameters'!$B$42,'Loan Input Parameters'!$B$42,K71*'Loan Input Parameters'!$B$41)</f>
        <v>0</v>
      </c>
      <c r="M71" s="76">
        <f t="shared" si="10"/>
        <v>235912.49372960557</v>
      </c>
      <c r="N71" s="77">
        <f t="shared" si="11"/>
        <v>-41263.035459540668</v>
      </c>
      <c r="O71" s="76">
        <f>IF('Loan Input Parameters'!$B$8*3%&lt;=4000,4000,IF('Loan Input Parameters'!$B$8*3%&gt;=18000,18000,'Loan Input Parameters'!$B$8*3%))</f>
        <v>15000</v>
      </c>
      <c r="P71" s="76">
        <f t="shared" si="14"/>
        <v>15000</v>
      </c>
    </row>
    <row r="72" spans="1:16" ht="14.4" thickBot="1" x14ac:dyDescent="0.35">
      <c r="A72" s="75">
        <f t="shared" si="15"/>
        <v>69</v>
      </c>
      <c r="B72" s="34">
        <f t="shared" si="16"/>
        <v>47299</v>
      </c>
      <c r="C72" s="32">
        <f t="shared" si="13"/>
        <v>194649.4582700649</v>
      </c>
      <c r="D72" s="32">
        <f>IF(A72&lt;'Loan Input Parameters'!$B$16,'Loan Input Parameters'!$B$24,IF(A72='Loan Input Parameters'!$B$16,'Loan Input Parameters'!$B$24+'Loan Input Parameters'!$B$20,0))</f>
        <v>7931.5630539595995</v>
      </c>
      <c r="E72" s="32">
        <f>IF($A72&lt;'Loan Input Parameters'!$B$16,C72*'Loan Input Parameters'!$B$15/12,"0.00")</f>
        <v>1784.2867008089281</v>
      </c>
      <c r="F72" s="32">
        <f>IF(A72&lt;='Loan Input Parameters'!$B$16,'Loan Input Parameters'!$B$23,0)</f>
        <v>69</v>
      </c>
      <c r="G72" s="32">
        <f>IF($A72&lt;'Loan Input Parameters'!$B$16,D72-E72-F72,"0.00")</f>
        <v>6078.2763531506716</v>
      </c>
      <c r="H72" s="32">
        <f>IF($A72&lt;'Loan Input Parameters'!$B$16,C72-G72,"0.00")</f>
        <v>188571.18191691424</v>
      </c>
      <c r="I72" s="45">
        <f>H72/'Loan Input Parameters'!$B$13</f>
        <v>0.37623375930510666</v>
      </c>
      <c r="J72" s="45">
        <f t="shared" si="12"/>
        <v>0.1</v>
      </c>
      <c r="K72" s="76" cm="1">
        <f t="array" ref="K72">IF(
AND(MONTH($B72)=1,SUMPRODUCT(--(MONTH($B$4:B72)=1))=1),
K71*(1-22%*J72),
IF(
AND(MONTH($B72)=1,SUMPRODUCT(--(MONTH($B$4:B72)=1))=2),
K71*(1-20%*J72),
IF($A72&lt;13,K71*(1-(J72*4%)),
IF($A72&lt;25,K71*(1-(J72*5%)),K71*(1-J72/12)
)
)
))</f>
        <v>233946.55628185888</v>
      </c>
      <c r="L72" s="76">
        <f>IF(K72*'Loan Input Parameters'!$B$41&lt;'Loan Input Parameters'!$B$42,'Loan Input Parameters'!$B$42,K72*'Loan Input Parameters'!$B$41)</f>
        <v>0</v>
      </c>
      <c r="M72" s="76">
        <f t="shared" si="10"/>
        <v>233946.55628185888</v>
      </c>
      <c r="N72" s="77">
        <f t="shared" si="11"/>
        <v>-45375.374364944641</v>
      </c>
      <c r="O72" s="76">
        <f>IF('Loan Input Parameters'!$B$8*3%&lt;=4000,4000,IF('Loan Input Parameters'!$B$8*3%&gt;=18000,18000,'Loan Input Parameters'!$B$8*3%))</f>
        <v>15000</v>
      </c>
      <c r="P72" s="76">
        <f t="shared" si="14"/>
        <v>15000</v>
      </c>
    </row>
    <row r="73" spans="1:16" ht="14.4" thickBot="1" x14ac:dyDescent="0.35">
      <c r="A73" s="75">
        <f t="shared" si="15"/>
        <v>70</v>
      </c>
      <c r="B73" s="34">
        <f t="shared" si="16"/>
        <v>47330</v>
      </c>
      <c r="C73" s="32">
        <f t="shared" si="13"/>
        <v>188571.18191691424</v>
      </c>
      <c r="D73" s="32">
        <f>IF(A73&lt;'Loan Input Parameters'!$B$16,'Loan Input Parameters'!$B$24,IF(A73='Loan Input Parameters'!$B$16,'Loan Input Parameters'!$B$24+'Loan Input Parameters'!$B$20,0))</f>
        <v>7931.5630539595995</v>
      </c>
      <c r="E73" s="32">
        <f>IF($A73&lt;'Loan Input Parameters'!$B$16,C73*'Loan Input Parameters'!$B$15/12,"0.00")</f>
        <v>1728.5691675717137</v>
      </c>
      <c r="F73" s="32">
        <f>IF(A73&lt;='Loan Input Parameters'!$B$16,'Loan Input Parameters'!$B$23,0)</f>
        <v>69</v>
      </c>
      <c r="G73" s="32">
        <f>IF($A73&lt;'Loan Input Parameters'!$B$16,D73-E73-F73,"0.00")</f>
        <v>6133.9938863878861</v>
      </c>
      <c r="H73" s="32">
        <f>IF($A73&lt;'Loan Input Parameters'!$B$16,C73-G73,"0.00")</f>
        <v>182437.18803052636</v>
      </c>
      <c r="I73" s="45">
        <f>H73/'Loan Input Parameters'!$B$13</f>
        <v>0.36399532734551332</v>
      </c>
      <c r="J73" s="45">
        <f t="shared" si="12"/>
        <v>0.1</v>
      </c>
      <c r="K73" s="76" cm="1">
        <f t="array" ref="K73">IF(
AND(MONTH($B73)=1,SUMPRODUCT(--(MONTH($B$4:B73)=1))=1),
K72*(1-22%*J73),
IF(
AND(MONTH($B73)=1,SUMPRODUCT(--(MONTH($B$4:B73)=1))=2),
K72*(1-20%*J73),
IF($A73&lt;13,K72*(1-(J73*4%)),
IF($A73&lt;25,K72*(1-(J73*5%)),K72*(1-J73/12)
)
)
))</f>
        <v>231997.00164617674</v>
      </c>
      <c r="L73" s="76">
        <f>IF(K73*'Loan Input Parameters'!$B$41&lt;'Loan Input Parameters'!$B$42,'Loan Input Parameters'!$B$42,K73*'Loan Input Parameters'!$B$41)</f>
        <v>0</v>
      </c>
      <c r="M73" s="76">
        <f t="shared" si="10"/>
        <v>231997.00164617674</v>
      </c>
      <c r="N73" s="77">
        <f t="shared" si="11"/>
        <v>-49559.813615650375</v>
      </c>
      <c r="O73" s="76">
        <f>IF('Loan Input Parameters'!$B$8*3%&lt;=4000,4000,IF('Loan Input Parameters'!$B$8*3%&gt;=18000,18000,'Loan Input Parameters'!$B$8*3%))</f>
        <v>15000</v>
      </c>
      <c r="P73" s="76">
        <f t="shared" si="14"/>
        <v>15000</v>
      </c>
    </row>
    <row r="74" spans="1:16" ht="14.4" thickBot="1" x14ac:dyDescent="0.35">
      <c r="A74" s="75">
        <f t="shared" si="15"/>
        <v>71</v>
      </c>
      <c r="B74" s="34">
        <f t="shared" si="16"/>
        <v>47361</v>
      </c>
      <c r="C74" s="32">
        <f t="shared" si="13"/>
        <v>182437.18803052636</v>
      </c>
      <c r="D74" s="32">
        <f>IF(A74&lt;'Loan Input Parameters'!$B$16,'Loan Input Parameters'!$B$24,IF(A74='Loan Input Parameters'!$B$16,'Loan Input Parameters'!$B$24+'Loan Input Parameters'!$B$20,0))</f>
        <v>7931.5630539595995</v>
      </c>
      <c r="E74" s="32">
        <f>IF($A74&lt;'Loan Input Parameters'!$B$16,C74*'Loan Input Parameters'!$B$15/12,"0.00")</f>
        <v>1672.3408902798249</v>
      </c>
      <c r="F74" s="32">
        <f>IF(A74&lt;='Loan Input Parameters'!$B$16,'Loan Input Parameters'!$B$23,0)</f>
        <v>69</v>
      </c>
      <c r="G74" s="32">
        <f>IF($A74&lt;'Loan Input Parameters'!$B$16,D74-E74-F74,"0.00")</f>
        <v>6190.2221636797749</v>
      </c>
      <c r="H74" s="32">
        <f>IF($A74&lt;'Loan Input Parameters'!$B$16,C74-G74,"0.00")</f>
        <v>176246.96586684659</v>
      </c>
      <c r="I74" s="45">
        <f>H74/'Loan Input Parameters'!$B$13</f>
        <v>0.3516447097596237</v>
      </c>
      <c r="J74" s="45">
        <f t="shared" si="12"/>
        <v>0.1</v>
      </c>
      <c r="K74" s="76" cm="1">
        <f t="array" ref="K74">IF(
AND(MONTH($B74)=1,SUMPRODUCT(--(MONTH($B$4:B74)=1))=1),
K73*(1-22%*J74),
IF(
AND(MONTH($B74)=1,SUMPRODUCT(--(MONTH($B$4:B74)=1))=2),
K73*(1-20%*J74),
IF($A74&lt;13,K73*(1-(J74*4%)),
IF($A74&lt;25,K73*(1-(J74*5%)),K73*(1-J74/12)
)
)
))</f>
        <v>230063.69329912527</v>
      </c>
      <c r="L74" s="76">
        <f>IF(K74*'Loan Input Parameters'!$B$41&lt;'Loan Input Parameters'!$B$42,'Loan Input Parameters'!$B$42,K74*'Loan Input Parameters'!$B$41)</f>
        <v>0</v>
      </c>
      <c r="M74" s="76">
        <f t="shared" si="10"/>
        <v>230063.69329912527</v>
      </c>
      <c r="N74" s="77">
        <f t="shared" si="11"/>
        <v>-53816.727432278683</v>
      </c>
      <c r="O74" s="76">
        <f>IF('Loan Input Parameters'!$B$8*3%&lt;=4000,4000,IF('Loan Input Parameters'!$B$8*3%&gt;=18000,18000,'Loan Input Parameters'!$B$8*3%))</f>
        <v>15000</v>
      </c>
      <c r="P74" s="76">
        <f t="shared" si="14"/>
        <v>15000</v>
      </c>
    </row>
    <row r="75" spans="1:16" ht="14.4" thickBot="1" x14ac:dyDescent="0.35">
      <c r="A75" s="75">
        <f t="shared" si="15"/>
        <v>72</v>
      </c>
      <c r="B75" s="34">
        <f t="shared" si="16"/>
        <v>47391</v>
      </c>
      <c r="C75" s="32">
        <f>IF(ROUND(H74,0)&gt;0,H74,0)</f>
        <v>176246.96586684659</v>
      </c>
      <c r="D75" s="32">
        <f>IF(A75&lt;'Loan Input Parameters'!$B$16,'Loan Input Parameters'!$B$24,IF(A75='Loan Input Parameters'!$B$16,'Loan Input Parameters'!$B$24,0))</f>
        <v>7931.5630539595995</v>
      </c>
      <c r="E75" s="32" t="str">
        <f>IF($A75&lt;'Loan Input Parameters'!$B$16,C75*'Loan Input Parameters'!$B$15/12,"0.00")</f>
        <v>0.00</v>
      </c>
      <c r="F75" s="32">
        <f>IF(A75&lt;='Loan Input Parameters'!$B$16,'Loan Input Parameters'!$B$23,0)</f>
        <v>69</v>
      </c>
      <c r="G75" s="32" t="str">
        <f>IF($A75&lt;'Loan Input Parameters'!$B$16,D75-E75-F75,"0.00")</f>
        <v>0.00</v>
      </c>
      <c r="H75" s="32" t="str">
        <f>IF($A75&lt;'Loan Input Parameters'!$B$16,C75-G75,"0.00")</f>
        <v>0.00</v>
      </c>
      <c r="I75" s="45">
        <f>H75/'Loan Input Parameters'!$B$13</f>
        <v>0</v>
      </c>
      <c r="J75" s="45">
        <f t="shared" si="12"/>
        <v>0.1</v>
      </c>
      <c r="K75" s="76" cm="1">
        <f t="array" ref="K75">IF(
AND(MONTH($B75)=1,SUMPRODUCT(--(MONTH($B$4:B75)=1))=1),
K74*(1-22%*J75),
IF(
AND(MONTH($B75)=1,SUMPRODUCT(--(MONTH($B$4:B75)=1))=2),
K74*(1-20%*J75),
IF($A75&lt;13,K74*(1-(J75*4%)),
IF($A75&lt;25,K74*(1-(J75*5%)),K74*(1-J75/12)
)
)
))</f>
        <v>228146.49585496591</v>
      </c>
      <c r="L75" s="76">
        <f>IF(K75*'Loan Input Parameters'!$B$41&lt;'Loan Input Parameters'!$B$42,'Loan Input Parameters'!$B$42,K75*'Loan Input Parameters'!$B$41)</f>
        <v>0</v>
      </c>
      <c r="M75" s="76">
        <f t="shared" si="10"/>
        <v>228146.49585496591</v>
      </c>
      <c r="N75" s="77">
        <f t="shared" si="11"/>
        <v>-228146.49585496591</v>
      </c>
      <c r="O75" s="76">
        <f>IF('Loan Input Parameters'!$B$8*3%&lt;=4000,4000,IF('Loan Input Parameters'!$B$8*3%&gt;=18000,18000,'Loan Input Parameters'!$B$8*3%))</f>
        <v>15000</v>
      </c>
      <c r="P75" s="76">
        <f t="shared" si="14"/>
        <v>15000</v>
      </c>
    </row>
    <row r="76" spans="1:16" ht="14.4" thickBot="1" x14ac:dyDescent="0.35">
      <c r="A76" s="75">
        <f t="shared" si="15"/>
        <v>73</v>
      </c>
      <c r="B76" s="34">
        <f t="shared" si="16"/>
        <v>47422</v>
      </c>
      <c r="C76" s="32">
        <f t="shared" ref="C76:C99" si="17">IF(ROUND(H75,0)&gt;0,H75,0)</f>
        <v>0</v>
      </c>
      <c r="D76" s="32">
        <f>IF(A76&lt;'Loan Input Parameters'!$B$16,'Loan Input Parameters'!$B$24,IF(A76='Loan Input Parameters'!$B$16,'Loan Input Parameters'!$B$24,0))</f>
        <v>0</v>
      </c>
      <c r="E76" s="32" t="str">
        <f>IF($A76&lt;'Loan Input Parameters'!$B$16,C76*'Loan Input Parameters'!$B$15/12,"0.00")</f>
        <v>0.00</v>
      </c>
      <c r="F76" s="32">
        <f>IF(A76&lt;='Loan Input Parameters'!$B$16,'Loan Input Parameters'!$B$23,0)</f>
        <v>0</v>
      </c>
      <c r="G76" s="32" t="str">
        <f>IF($A76&lt;'Loan Input Parameters'!$B$16,D76-E76-F76,"0.00")</f>
        <v>0.00</v>
      </c>
      <c r="H76" s="32" t="str">
        <f>IF($A76&lt;'Loan Input Parameters'!$B$16,C76-G76,"0.00")</f>
        <v>0.00</v>
      </c>
      <c r="I76" s="45">
        <f>H76/'Loan Input Parameters'!$B$13</f>
        <v>0</v>
      </c>
      <c r="J76" s="45">
        <f t="shared" si="12"/>
        <v>0.1</v>
      </c>
      <c r="K76" s="76" cm="1">
        <f t="array" ref="K76">IF(
AND(MONTH($B76)=1,SUMPRODUCT(--(MONTH($B$4:B76)=1))=1),
K75*(1-22%*J76),
IF(
AND(MONTH($B76)=1,SUMPRODUCT(--(MONTH($B$4:B76)=1))=2),
K75*(1-20%*J76),
IF($A76&lt;13,K75*(1-(J76*4%)),
IF($A76&lt;25,K75*(1-(J76*5%)),K75*(1-J76/12)
)
)
))</f>
        <v>226245.27505617452</v>
      </c>
      <c r="L76" s="76">
        <f>IF(K76*'Loan Input Parameters'!$B$41&lt;'Loan Input Parameters'!$B$42,'Loan Input Parameters'!$B$42,K76*'Loan Input Parameters'!$B$41)</f>
        <v>0</v>
      </c>
      <c r="M76" s="76">
        <f t="shared" ref="M76:M99" si="18">IFERROR(K76-L76,"")</f>
        <v>226245.27505617452</v>
      </c>
      <c r="N76" s="77">
        <f t="shared" ref="N76:N99" si="19">IFERROR(H76-(K76-L76),"")</f>
        <v>-226245.27505617452</v>
      </c>
      <c r="O76" s="76">
        <f>IF('Loan Input Parameters'!$B$8*3%&lt;=4000,4000,IF('Loan Input Parameters'!$B$8*3%&gt;=18000,18000,'Loan Input Parameters'!$B$8*3%))</f>
        <v>15000</v>
      </c>
      <c r="P76" s="76">
        <f t="shared" si="14"/>
        <v>15000</v>
      </c>
    </row>
    <row r="77" spans="1:16" ht="14.4" thickBot="1" x14ac:dyDescent="0.35">
      <c r="A77" s="75">
        <f t="shared" si="15"/>
        <v>74</v>
      </c>
      <c r="B77" s="34">
        <f t="shared" si="16"/>
        <v>47452</v>
      </c>
      <c r="C77" s="32">
        <f t="shared" si="17"/>
        <v>0</v>
      </c>
      <c r="D77" s="32">
        <f>IF(A77&lt;'Loan Input Parameters'!$B$16,'Loan Input Parameters'!$B$24,IF(A77='Loan Input Parameters'!$B$16,'Loan Input Parameters'!$B$24,0))</f>
        <v>0</v>
      </c>
      <c r="E77" s="32" t="str">
        <f>IF($A77&lt;'Loan Input Parameters'!$B$16,C77*'Loan Input Parameters'!$B$15/12,"0.00")</f>
        <v>0.00</v>
      </c>
      <c r="F77" s="32">
        <f>IF(A77&lt;='Loan Input Parameters'!$B$16,'Loan Input Parameters'!$B$23,0)</f>
        <v>0</v>
      </c>
      <c r="G77" s="32" t="str">
        <f>IF($A77&lt;'Loan Input Parameters'!$B$16,D77-E77-F77,"0.00")</f>
        <v>0.00</v>
      </c>
      <c r="H77" s="32" t="str">
        <f>IF($A77&lt;'Loan Input Parameters'!$B$16,C77-G77,"0.00")</f>
        <v>0.00</v>
      </c>
      <c r="I77" s="45">
        <f>H77/'Loan Input Parameters'!$B$13</f>
        <v>0</v>
      </c>
      <c r="J77" s="45">
        <f t="shared" si="12"/>
        <v>0.1</v>
      </c>
      <c r="K77" s="76" cm="1">
        <f t="array" ref="K77">IF(
AND(MONTH($B77)=1,SUMPRODUCT(--(MONTH($B$4:B77)=1))=1),
K76*(1-22%*J77),
IF(
AND(MONTH($B77)=1,SUMPRODUCT(--(MONTH($B$4:B77)=1))=2),
K76*(1-20%*J77),
IF($A77&lt;13,K76*(1-(J77*4%)),
IF($A77&lt;25,K76*(1-(J77*5%)),K76*(1-J77/12)
)
)
))</f>
        <v>224359.89776403975</v>
      </c>
      <c r="L77" s="76">
        <f>IF(K77*'Loan Input Parameters'!$B$41&lt;'Loan Input Parameters'!$B$42,'Loan Input Parameters'!$B$42,K77*'Loan Input Parameters'!$B$41)</f>
        <v>0</v>
      </c>
      <c r="M77" s="76">
        <f t="shared" si="18"/>
        <v>224359.89776403975</v>
      </c>
      <c r="N77" s="77">
        <f t="shared" si="19"/>
        <v>-224359.89776403975</v>
      </c>
      <c r="O77" s="76">
        <f>IF('Loan Input Parameters'!$B$8*3%&lt;=4000,4000,IF('Loan Input Parameters'!$B$8*3%&gt;=18000,18000,'Loan Input Parameters'!$B$8*3%))</f>
        <v>15000</v>
      </c>
      <c r="P77" s="76">
        <f t="shared" si="14"/>
        <v>15000</v>
      </c>
    </row>
    <row r="78" spans="1:16" ht="14.4" thickBot="1" x14ac:dyDescent="0.35">
      <c r="A78" s="75">
        <f t="shared" si="15"/>
        <v>75</v>
      </c>
      <c r="B78" s="34">
        <f t="shared" si="16"/>
        <v>47483</v>
      </c>
      <c r="C78" s="32">
        <f t="shared" si="17"/>
        <v>0</v>
      </c>
      <c r="D78" s="32">
        <f>IF(A78&lt;'Loan Input Parameters'!$B$16,'Loan Input Parameters'!$B$24,IF(A78='Loan Input Parameters'!$B$16,'Loan Input Parameters'!$B$24,0))</f>
        <v>0</v>
      </c>
      <c r="E78" s="32" t="str">
        <f>IF($A78&lt;'Loan Input Parameters'!$B$16,C78*'Loan Input Parameters'!$B$15/12,"0.00")</f>
        <v>0.00</v>
      </c>
      <c r="F78" s="32">
        <f>IF(A78&lt;='Loan Input Parameters'!$B$16,'Loan Input Parameters'!$B$23,0)</f>
        <v>0</v>
      </c>
      <c r="G78" s="32" t="str">
        <f>IF($A78&lt;'Loan Input Parameters'!$B$16,D78-E78-F78,"0.00")</f>
        <v>0.00</v>
      </c>
      <c r="H78" s="32" t="str">
        <f>IF($A78&lt;'Loan Input Parameters'!$B$16,C78-G78,"0.00")</f>
        <v>0.00</v>
      </c>
      <c r="I78" s="45">
        <f>H78/'Loan Input Parameters'!$B$13</f>
        <v>0</v>
      </c>
      <c r="J78" s="45">
        <f t="shared" si="12"/>
        <v>0.1</v>
      </c>
      <c r="K78" s="76" cm="1">
        <f t="array" ref="K78">IF(
AND(MONTH($B78)=1,SUMPRODUCT(--(MONTH($B$4:B78)=1))=1),
K77*(1-22%*J78),
IF(
AND(MONTH($B78)=1,SUMPRODUCT(--(MONTH($B$4:B78)=1))=2),
K77*(1-20%*J78),
IF($A78&lt;13,K77*(1-(J78*4%)),
IF($A78&lt;25,K77*(1-(J78*5%)),K77*(1-J78/12)
)
)
))</f>
        <v>222490.23194933942</v>
      </c>
      <c r="L78" s="76">
        <f>IF(K78*'Loan Input Parameters'!$B$41&lt;'Loan Input Parameters'!$B$42,'Loan Input Parameters'!$B$42,K78*'Loan Input Parameters'!$B$41)</f>
        <v>0</v>
      </c>
      <c r="M78" s="76">
        <f t="shared" si="18"/>
        <v>222490.23194933942</v>
      </c>
      <c r="N78" s="77">
        <f t="shared" si="19"/>
        <v>-222490.23194933942</v>
      </c>
      <c r="O78" s="76">
        <f>IF('Loan Input Parameters'!$B$8*3%&lt;=4000,4000,IF('Loan Input Parameters'!$B$8*3%&gt;=18000,18000,'Loan Input Parameters'!$B$8*3%))</f>
        <v>15000</v>
      </c>
      <c r="P78" s="76">
        <f t="shared" si="14"/>
        <v>15000</v>
      </c>
    </row>
    <row r="79" spans="1:16" ht="14.4" thickBot="1" x14ac:dyDescent="0.35">
      <c r="A79" s="75">
        <f t="shared" si="15"/>
        <v>76</v>
      </c>
      <c r="B79" s="34">
        <f t="shared" si="16"/>
        <v>47514</v>
      </c>
      <c r="C79" s="32">
        <f t="shared" si="17"/>
        <v>0</v>
      </c>
      <c r="D79" s="32">
        <f>IF(A79&lt;'Loan Input Parameters'!$B$16,'Loan Input Parameters'!$B$24,IF(A79='Loan Input Parameters'!$B$16,'Loan Input Parameters'!$B$24,0))</f>
        <v>0</v>
      </c>
      <c r="E79" s="32" t="str">
        <f>IF($A79&lt;'Loan Input Parameters'!$B$16,C79*'Loan Input Parameters'!$B$15/12,"0.00")</f>
        <v>0.00</v>
      </c>
      <c r="F79" s="32">
        <f>IF(A79&lt;='Loan Input Parameters'!$B$16,'Loan Input Parameters'!$B$23,0)</f>
        <v>0</v>
      </c>
      <c r="G79" s="32" t="str">
        <f>IF($A79&lt;'Loan Input Parameters'!$B$16,D79-E79-F79,"0.00")</f>
        <v>0.00</v>
      </c>
      <c r="H79" s="32" t="str">
        <f>IF($A79&lt;'Loan Input Parameters'!$B$16,C79-G79,"0.00")</f>
        <v>0.00</v>
      </c>
      <c r="I79" s="45">
        <f>H79/'Loan Input Parameters'!$B$13</f>
        <v>0</v>
      </c>
      <c r="J79" s="45">
        <f t="shared" si="12"/>
        <v>0.1</v>
      </c>
      <c r="K79" s="76" cm="1">
        <f t="array" ref="K79">IF(
AND(MONTH($B79)=1,SUMPRODUCT(--(MONTH($B$4:B79)=1))=1),
K78*(1-22%*J79),
IF(
AND(MONTH($B79)=1,SUMPRODUCT(--(MONTH($B$4:B79)=1))=2),
K78*(1-20%*J79),
IF($A79&lt;13,K78*(1-(J79*4%)),
IF($A79&lt;25,K78*(1-(J79*5%)),K78*(1-J79/12)
)
)
))</f>
        <v>220636.14668309494</v>
      </c>
      <c r="L79" s="76">
        <f>IF(K79*'Loan Input Parameters'!$B$41&lt;'Loan Input Parameters'!$B$42,'Loan Input Parameters'!$B$42,K79*'Loan Input Parameters'!$B$41)</f>
        <v>0</v>
      </c>
      <c r="M79" s="76">
        <f t="shared" si="18"/>
        <v>220636.14668309494</v>
      </c>
      <c r="N79" s="77">
        <f t="shared" si="19"/>
        <v>-220636.14668309494</v>
      </c>
      <c r="O79" s="76">
        <f>IF('Loan Input Parameters'!$B$8*3%&lt;=4000,4000,IF('Loan Input Parameters'!$B$8*3%&gt;=18000,18000,'Loan Input Parameters'!$B$8*3%))</f>
        <v>15000</v>
      </c>
      <c r="P79" s="76">
        <f t="shared" si="14"/>
        <v>15000</v>
      </c>
    </row>
    <row r="80" spans="1:16" ht="14.4" thickBot="1" x14ac:dyDescent="0.35">
      <c r="A80" s="75">
        <f t="shared" si="15"/>
        <v>77</v>
      </c>
      <c r="B80" s="34">
        <f t="shared" si="16"/>
        <v>47542</v>
      </c>
      <c r="C80" s="32">
        <f t="shared" si="17"/>
        <v>0</v>
      </c>
      <c r="D80" s="32">
        <f>IF(A80&lt;'Loan Input Parameters'!$B$16,'Loan Input Parameters'!$B$24,IF(A80='Loan Input Parameters'!$B$16,'Loan Input Parameters'!$B$24,0))</f>
        <v>0</v>
      </c>
      <c r="E80" s="32" t="str">
        <f>IF($A80&lt;'Loan Input Parameters'!$B$16,C80*'Loan Input Parameters'!$B$15/12,"0.00")</f>
        <v>0.00</v>
      </c>
      <c r="F80" s="32">
        <f>IF(A80&lt;='Loan Input Parameters'!$B$16,'Loan Input Parameters'!$B$23,0)</f>
        <v>0</v>
      </c>
      <c r="G80" s="32" t="str">
        <f>IF($A80&lt;'Loan Input Parameters'!$B$16,D80-E80-F80,"0.00")</f>
        <v>0.00</v>
      </c>
      <c r="H80" s="32" t="str">
        <f>IF($A80&lt;'Loan Input Parameters'!$B$16,C80-G80,"0.00")</f>
        <v>0.00</v>
      </c>
      <c r="I80" s="45">
        <f>H80/'Loan Input Parameters'!$B$13</f>
        <v>0</v>
      </c>
      <c r="J80" s="45">
        <f t="shared" si="12"/>
        <v>0.1</v>
      </c>
      <c r="K80" s="76" cm="1">
        <f t="array" ref="K80">IF(
AND(MONTH($B80)=1,SUMPRODUCT(--(MONTH($B$4:B80)=1))=1),
K79*(1-22%*J80),
IF(
AND(MONTH($B80)=1,SUMPRODUCT(--(MONTH($B$4:B80)=1))=2),
K79*(1-20%*J80),
IF($A80&lt;13,K79*(1-(J80*4%)),
IF($A80&lt;25,K79*(1-(J80*5%)),K79*(1-J80/12)
)
)
))</f>
        <v>218797.51212740247</v>
      </c>
      <c r="L80" s="76">
        <f>IF(K80*'Loan Input Parameters'!$B$41&lt;'Loan Input Parameters'!$B$42,'Loan Input Parameters'!$B$42,K80*'Loan Input Parameters'!$B$41)</f>
        <v>0</v>
      </c>
      <c r="M80" s="76">
        <f t="shared" si="18"/>
        <v>218797.51212740247</v>
      </c>
      <c r="N80" s="77">
        <f t="shared" si="19"/>
        <v>-218797.51212740247</v>
      </c>
      <c r="O80" s="76">
        <f>IF('Loan Input Parameters'!$B$8*3%&lt;=4000,4000,IF('Loan Input Parameters'!$B$8*3%&gt;=18000,18000,'Loan Input Parameters'!$B$8*3%))</f>
        <v>15000</v>
      </c>
      <c r="P80" s="76">
        <f t="shared" si="14"/>
        <v>15000</v>
      </c>
    </row>
    <row r="81" spans="1:16" ht="14.4" thickBot="1" x14ac:dyDescent="0.35">
      <c r="A81" s="75">
        <f t="shared" si="15"/>
        <v>78</v>
      </c>
      <c r="B81" s="34">
        <f t="shared" si="16"/>
        <v>47573</v>
      </c>
      <c r="C81" s="32">
        <f t="shared" si="17"/>
        <v>0</v>
      </c>
      <c r="D81" s="32">
        <f>IF(A81&lt;'Loan Input Parameters'!$B$16,'Loan Input Parameters'!$B$24,IF(A81='Loan Input Parameters'!$B$16,'Loan Input Parameters'!$B$24,0))</f>
        <v>0</v>
      </c>
      <c r="E81" s="32" t="str">
        <f>IF($A81&lt;'Loan Input Parameters'!$B$16,C81*'Loan Input Parameters'!$B$15/12,"0.00")</f>
        <v>0.00</v>
      </c>
      <c r="F81" s="32">
        <f>IF(A81&lt;='Loan Input Parameters'!$B$16,'Loan Input Parameters'!$B$23,0)</f>
        <v>0</v>
      </c>
      <c r="G81" s="32" t="str">
        <f>IF($A81&lt;'Loan Input Parameters'!$B$16,D81-E81-F81,"0.00")</f>
        <v>0.00</v>
      </c>
      <c r="H81" s="32" t="str">
        <f>IF($A81&lt;'Loan Input Parameters'!$B$16,C81-G81,"0.00")</f>
        <v>0.00</v>
      </c>
      <c r="I81" s="45">
        <f>H81/'Loan Input Parameters'!$B$13</f>
        <v>0</v>
      </c>
      <c r="J81" s="45">
        <f t="shared" si="12"/>
        <v>0.1</v>
      </c>
      <c r="K81" s="76" cm="1">
        <f t="array" ref="K81">IF(
AND(MONTH($B81)=1,SUMPRODUCT(--(MONTH($B$4:B81)=1))=1),
K80*(1-22%*J81),
IF(
AND(MONTH($B81)=1,SUMPRODUCT(--(MONTH($B$4:B81)=1))=2),
K80*(1-20%*J81),
IF($A81&lt;13,K80*(1-(J81*4%)),
IF($A81&lt;25,K80*(1-(J81*5%)),K80*(1-J81/12)
)
)
))</f>
        <v>216974.19952634079</v>
      </c>
      <c r="L81" s="76">
        <f>IF(K81*'Loan Input Parameters'!$B$41&lt;'Loan Input Parameters'!$B$42,'Loan Input Parameters'!$B$42,K81*'Loan Input Parameters'!$B$41)</f>
        <v>0</v>
      </c>
      <c r="M81" s="76">
        <f t="shared" si="18"/>
        <v>216974.19952634079</v>
      </c>
      <c r="N81" s="77">
        <f t="shared" si="19"/>
        <v>-216974.19952634079</v>
      </c>
      <c r="O81" s="76">
        <f>IF('Loan Input Parameters'!$B$8*3%&lt;=4000,4000,IF('Loan Input Parameters'!$B$8*3%&gt;=18000,18000,'Loan Input Parameters'!$B$8*3%))</f>
        <v>15000</v>
      </c>
      <c r="P81" s="76">
        <f t="shared" si="14"/>
        <v>15000</v>
      </c>
    </row>
    <row r="82" spans="1:16" ht="14.4" thickBot="1" x14ac:dyDescent="0.35">
      <c r="A82" s="75">
        <f t="shared" si="15"/>
        <v>79</v>
      </c>
      <c r="B82" s="34">
        <f t="shared" si="16"/>
        <v>47603</v>
      </c>
      <c r="C82" s="32">
        <f t="shared" si="17"/>
        <v>0</v>
      </c>
      <c r="D82" s="32">
        <f>IF(A82&lt;'Loan Input Parameters'!$B$16,'Loan Input Parameters'!$B$24,IF(A82='Loan Input Parameters'!$B$16,'Loan Input Parameters'!$B$24,0))</f>
        <v>0</v>
      </c>
      <c r="E82" s="32" t="str">
        <f>IF($A82&lt;'Loan Input Parameters'!$B$16,C82*'Loan Input Parameters'!$B$15/12,"0.00")</f>
        <v>0.00</v>
      </c>
      <c r="F82" s="32">
        <f>IF(A82&lt;='Loan Input Parameters'!$B$16,'Loan Input Parameters'!$B$23,0)</f>
        <v>0</v>
      </c>
      <c r="G82" s="32" t="str">
        <f>IF($A82&lt;'Loan Input Parameters'!$B$16,D82-E82-F82,"0.00")</f>
        <v>0.00</v>
      </c>
      <c r="H82" s="32" t="str">
        <f>IF($A82&lt;'Loan Input Parameters'!$B$16,C82-G82,"0.00")</f>
        <v>0.00</v>
      </c>
      <c r="I82" s="45">
        <f>H82/'Loan Input Parameters'!$B$13</f>
        <v>0</v>
      </c>
      <c r="J82" s="45">
        <f t="shared" si="12"/>
        <v>0.1</v>
      </c>
      <c r="K82" s="76" cm="1">
        <f t="array" ref="K82">IF(
AND(MONTH($B82)=1,SUMPRODUCT(--(MONTH($B$4:B82)=1))=1),
K81*(1-22%*J82),
IF(
AND(MONTH($B82)=1,SUMPRODUCT(--(MONTH($B$4:B82)=1))=2),
K81*(1-20%*J82),
IF($A82&lt;13,K81*(1-(J82*4%)),
IF($A82&lt;25,K81*(1-(J82*5%)),K81*(1-J82/12)
)
)
))</f>
        <v>215166.08119695462</v>
      </c>
      <c r="L82" s="76">
        <f>IF(K82*'Loan Input Parameters'!$B$41&lt;'Loan Input Parameters'!$B$42,'Loan Input Parameters'!$B$42,K82*'Loan Input Parameters'!$B$41)</f>
        <v>0</v>
      </c>
      <c r="M82" s="76">
        <f t="shared" si="18"/>
        <v>215166.08119695462</v>
      </c>
      <c r="N82" s="77">
        <f t="shared" si="19"/>
        <v>-215166.08119695462</v>
      </c>
      <c r="O82" s="76">
        <f>IF('Loan Input Parameters'!$B$8*3%&lt;=4000,4000,IF('Loan Input Parameters'!$B$8*3%&gt;=18000,18000,'Loan Input Parameters'!$B$8*3%))</f>
        <v>15000</v>
      </c>
      <c r="P82" s="76">
        <f t="shared" si="14"/>
        <v>15000</v>
      </c>
    </row>
    <row r="83" spans="1:16" ht="14.4" thickBot="1" x14ac:dyDescent="0.35">
      <c r="A83" s="75">
        <f t="shared" si="15"/>
        <v>80</v>
      </c>
      <c r="B83" s="34">
        <f t="shared" si="16"/>
        <v>47634</v>
      </c>
      <c r="C83" s="32">
        <f t="shared" si="17"/>
        <v>0</v>
      </c>
      <c r="D83" s="32">
        <f>IF(A83&lt;'Loan Input Parameters'!$B$16,'Loan Input Parameters'!$B$24,IF(A83='Loan Input Parameters'!$B$16,'Loan Input Parameters'!$B$24,0))</f>
        <v>0</v>
      </c>
      <c r="E83" s="32" t="str">
        <f>IF($A83&lt;'Loan Input Parameters'!$B$16,C83*'Loan Input Parameters'!$B$15/12,"0.00")</f>
        <v>0.00</v>
      </c>
      <c r="F83" s="32">
        <f>IF(A83&lt;='Loan Input Parameters'!$B$16,'Loan Input Parameters'!$B$23,0)</f>
        <v>0</v>
      </c>
      <c r="G83" s="32" t="str">
        <f>IF($A83&lt;'Loan Input Parameters'!$B$16,D83-E83-F83,"0.00")</f>
        <v>0.00</v>
      </c>
      <c r="H83" s="32" t="str">
        <f>IF($A83&lt;'Loan Input Parameters'!$B$16,C83-G83,"0.00")</f>
        <v>0.00</v>
      </c>
      <c r="I83" s="45">
        <f>H83/'Loan Input Parameters'!$B$13</f>
        <v>0</v>
      </c>
      <c r="J83" s="45">
        <f t="shared" si="12"/>
        <v>0.1</v>
      </c>
      <c r="K83" s="76" cm="1">
        <f t="array" ref="K83">IF(
AND(MONTH($B83)=1,SUMPRODUCT(--(MONTH($B$4:B83)=1))=1),
K82*(1-22%*J83),
IF(
AND(MONTH($B83)=1,SUMPRODUCT(--(MONTH($B$4:B83)=1))=2),
K82*(1-20%*J83),
IF($A83&lt;13,K82*(1-(J83*4%)),
IF($A83&lt;25,K82*(1-(J83*5%)),K82*(1-J83/12)
)
)
))</f>
        <v>213373.03052031333</v>
      </c>
      <c r="L83" s="76">
        <f>IF(K83*'Loan Input Parameters'!$B$41&lt;'Loan Input Parameters'!$B$42,'Loan Input Parameters'!$B$42,K83*'Loan Input Parameters'!$B$41)</f>
        <v>0</v>
      </c>
      <c r="M83" s="76">
        <f t="shared" si="18"/>
        <v>213373.03052031333</v>
      </c>
      <c r="N83" s="77">
        <f t="shared" si="19"/>
        <v>-213373.03052031333</v>
      </c>
      <c r="O83" s="76">
        <f>IF('Loan Input Parameters'!$B$8*3%&lt;=4000,4000,IF('Loan Input Parameters'!$B$8*3%&gt;=18000,18000,'Loan Input Parameters'!$B$8*3%))</f>
        <v>15000</v>
      </c>
      <c r="P83" s="76">
        <f t="shared" si="14"/>
        <v>15000</v>
      </c>
    </row>
    <row r="84" spans="1:16" ht="14.4" thickBot="1" x14ac:dyDescent="0.35">
      <c r="A84" s="75">
        <f t="shared" si="15"/>
        <v>81</v>
      </c>
      <c r="B84" s="34">
        <f t="shared" si="16"/>
        <v>47664</v>
      </c>
      <c r="C84" s="32">
        <f t="shared" si="17"/>
        <v>0</v>
      </c>
      <c r="D84" s="32">
        <f>IF(A84&lt;'Loan Input Parameters'!$B$16,'Loan Input Parameters'!$B$24,IF(A84='Loan Input Parameters'!$B$16,'Loan Input Parameters'!$B$24,0))</f>
        <v>0</v>
      </c>
      <c r="E84" s="32" t="str">
        <f>IF($A84&lt;'Loan Input Parameters'!$B$16,C84*'Loan Input Parameters'!$B$15/12,"0.00")</f>
        <v>0.00</v>
      </c>
      <c r="F84" s="32">
        <f>IF(A84&lt;='Loan Input Parameters'!$B$16,'Loan Input Parameters'!$B$23,0)</f>
        <v>0</v>
      </c>
      <c r="G84" s="32" t="str">
        <f>IF($A84&lt;'Loan Input Parameters'!$B$16,D84-E84-F84,"0.00")</f>
        <v>0.00</v>
      </c>
      <c r="H84" s="32" t="str">
        <f>IF($A84&lt;'Loan Input Parameters'!$B$16,C84-G84,"0.00")</f>
        <v>0.00</v>
      </c>
      <c r="I84" s="45">
        <f>H84/'Loan Input Parameters'!$B$13</f>
        <v>0</v>
      </c>
      <c r="J84" s="45">
        <f t="shared" si="12"/>
        <v>0.1</v>
      </c>
      <c r="K84" s="76" cm="1">
        <f t="array" ref="K84">IF(
AND(MONTH($B84)=1,SUMPRODUCT(--(MONTH($B$4:B84)=1))=1),
K83*(1-22%*J84),
IF(
AND(MONTH($B84)=1,SUMPRODUCT(--(MONTH($B$4:B84)=1))=2),
K83*(1-20%*J84),
IF($A84&lt;13,K83*(1-(J84*4%)),
IF($A84&lt;25,K83*(1-(J84*5%)),K83*(1-J84/12)
)
)
))</f>
        <v>211594.92193264407</v>
      </c>
      <c r="L84" s="76">
        <f>IF(K84*'Loan Input Parameters'!$B$41&lt;'Loan Input Parameters'!$B$42,'Loan Input Parameters'!$B$42,K84*'Loan Input Parameters'!$B$41)</f>
        <v>0</v>
      </c>
      <c r="M84" s="76">
        <f t="shared" si="18"/>
        <v>211594.92193264407</v>
      </c>
      <c r="N84" s="77">
        <f t="shared" si="19"/>
        <v>-211594.92193264407</v>
      </c>
      <c r="O84" s="76">
        <f>IF('Loan Input Parameters'!$B$8*3%&lt;=4000,4000,IF('Loan Input Parameters'!$B$8*3%&gt;=18000,18000,'Loan Input Parameters'!$B$8*3%))</f>
        <v>15000</v>
      </c>
      <c r="P84" s="76">
        <f t="shared" si="14"/>
        <v>15000</v>
      </c>
    </row>
    <row r="85" spans="1:16" ht="14.4" thickBot="1" x14ac:dyDescent="0.35">
      <c r="A85" s="75">
        <f t="shared" si="15"/>
        <v>82</v>
      </c>
      <c r="B85" s="34">
        <f t="shared" si="16"/>
        <v>47695</v>
      </c>
      <c r="C85" s="32">
        <f t="shared" si="17"/>
        <v>0</v>
      </c>
      <c r="D85" s="32">
        <f>IF(A85&lt;'Loan Input Parameters'!$B$16,'Loan Input Parameters'!$B$24,IF(A85='Loan Input Parameters'!$B$16,'Loan Input Parameters'!$B$24,0))</f>
        <v>0</v>
      </c>
      <c r="E85" s="32" t="str">
        <f>IF($A85&lt;'Loan Input Parameters'!$B$16,C85*'Loan Input Parameters'!$B$15/12,"0.00")</f>
        <v>0.00</v>
      </c>
      <c r="F85" s="32">
        <f>IF(A85&lt;='Loan Input Parameters'!$B$16,'Loan Input Parameters'!$B$23,0)</f>
        <v>0</v>
      </c>
      <c r="G85" s="32" t="str">
        <f>IF($A85&lt;'Loan Input Parameters'!$B$16,D85-E85-F85,"0.00")</f>
        <v>0.00</v>
      </c>
      <c r="H85" s="32" t="str">
        <f>IF($A85&lt;'Loan Input Parameters'!$B$16,C85-G85,"0.00")</f>
        <v>0.00</v>
      </c>
      <c r="I85" s="45">
        <f>H85/'Loan Input Parameters'!$B$13</f>
        <v>0</v>
      </c>
      <c r="J85" s="45">
        <f t="shared" si="12"/>
        <v>0.1</v>
      </c>
      <c r="K85" s="76" cm="1">
        <f t="array" ref="K85">IF(
AND(MONTH($B85)=1,SUMPRODUCT(--(MONTH($B$4:B85)=1))=1),
K84*(1-22%*J85),
IF(
AND(MONTH($B85)=1,SUMPRODUCT(--(MONTH($B$4:B85)=1))=2),
K84*(1-20%*J85),
IF($A85&lt;13,K84*(1-(J85*4%)),
IF($A85&lt;25,K84*(1-(J85*5%)),K84*(1-J85/12)
)
)
))</f>
        <v>209831.63091653871</v>
      </c>
      <c r="L85" s="76">
        <f>IF(K85*'Loan Input Parameters'!$B$41&lt;'Loan Input Parameters'!$B$42,'Loan Input Parameters'!$B$42,K85*'Loan Input Parameters'!$B$41)</f>
        <v>0</v>
      </c>
      <c r="M85" s="76">
        <f t="shared" si="18"/>
        <v>209831.63091653871</v>
      </c>
      <c r="N85" s="77">
        <f t="shared" si="19"/>
        <v>-209831.63091653871</v>
      </c>
      <c r="O85" s="76">
        <f>IF('Loan Input Parameters'!$B$8*3%&lt;=4000,4000,IF('Loan Input Parameters'!$B$8*3%&gt;=18000,18000,'Loan Input Parameters'!$B$8*3%))</f>
        <v>15000</v>
      </c>
      <c r="P85" s="76">
        <f t="shared" si="14"/>
        <v>15000</v>
      </c>
    </row>
    <row r="86" spans="1:16" ht="14.4" thickBot="1" x14ac:dyDescent="0.35">
      <c r="A86" s="75">
        <f t="shared" si="15"/>
        <v>83</v>
      </c>
      <c r="B86" s="34">
        <f t="shared" si="16"/>
        <v>47726</v>
      </c>
      <c r="C86" s="32">
        <f t="shared" si="17"/>
        <v>0</v>
      </c>
      <c r="D86" s="32">
        <f>IF(A86&lt;'Loan Input Parameters'!$B$16,'Loan Input Parameters'!$B$24,IF(A86='Loan Input Parameters'!$B$16,'Loan Input Parameters'!$B$24,0))</f>
        <v>0</v>
      </c>
      <c r="E86" s="32" t="str">
        <f>IF($A86&lt;'Loan Input Parameters'!$B$16,C86*'Loan Input Parameters'!$B$15/12,"0.00")</f>
        <v>0.00</v>
      </c>
      <c r="F86" s="32">
        <f>IF(A86&lt;='Loan Input Parameters'!$B$16,'Loan Input Parameters'!$B$23,0)</f>
        <v>0</v>
      </c>
      <c r="G86" s="32" t="str">
        <f>IF($A86&lt;'Loan Input Parameters'!$B$16,D86-E86-F86,"0.00")</f>
        <v>0.00</v>
      </c>
      <c r="H86" s="32" t="str">
        <f>IF($A86&lt;'Loan Input Parameters'!$B$16,C86-G86,"0.00")</f>
        <v>0.00</v>
      </c>
      <c r="I86" s="45">
        <f>H86/'Loan Input Parameters'!$B$13</f>
        <v>0</v>
      </c>
      <c r="J86" s="45">
        <f t="shared" si="12"/>
        <v>0.1</v>
      </c>
      <c r="K86" s="76" cm="1">
        <f t="array" ref="K86">IF(
AND(MONTH($B86)=1,SUMPRODUCT(--(MONTH($B$4:B86)=1))=1),
K85*(1-22%*J86),
IF(
AND(MONTH($B86)=1,SUMPRODUCT(--(MONTH($B$4:B86)=1))=2),
K85*(1-20%*J86),
IF($A86&lt;13,K85*(1-(J86*4%)),
IF($A86&lt;25,K85*(1-(J86*5%)),K85*(1-J86/12)
)
)
))</f>
        <v>208083.03399223421</v>
      </c>
      <c r="L86" s="76">
        <f>IF(K86*'Loan Input Parameters'!$B$41&lt;'Loan Input Parameters'!$B$42,'Loan Input Parameters'!$B$42,K86*'Loan Input Parameters'!$B$41)</f>
        <v>0</v>
      </c>
      <c r="M86" s="76">
        <f t="shared" si="18"/>
        <v>208083.03399223421</v>
      </c>
      <c r="N86" s="77">
        <f t="shared" si="19"/>
        <v>-208083.03399223421</v>
      </c>
      <c r="O86" s="76">
        <f>IF('Loan Input Parameters'!$B$8*3%&lt;=4000,4000,IF('Loan Input Parameters'!$B$8*3%&gt;=18000,18000,'Loan Input Parameters'!$B$8*3%))</f>
        <v>15000</v>
      </c>
      <c r="P86" s="76">
        <f t="shared" si="14"/>
        <v>15000</v>
      </c>
    </row>
    <row r="87" spans="1:16" ht="14.4" thickBot="1" x14ac:dyDescent="0.35">
      <c r="A87" s="75">
        <f t="shared" si="15"/>
        <v>84</v>
      </c>
      <c r="B87" s="34">
        <f t="shared" si="16"/>
        <v>47756</v>
      </c>
      <c r="C87" s="32">
        <f t="shared" si="17"/>
        <v>0</v>
      </c>
      <c r="D87" s="32">
        <f>IF(A87&lt;'Loan Input Parameters'!$B$16,'Loan Input Parameters'!$B$24,IF(A87='Loan Input Parameters'!$B$16,'Loan Input Parameters'!$B$24,0))</f>
        <v>0</v>
      </c>
      <c r="E87" s="32" t="str">
        <f>IF($A87&lt;'Loan Input Parameters'!$B$16,C87*'Loan Input Parameters'!$B$15/12,"0.00")</f>
        <v>0.00</v>
      </c>
      <c r="F87" s="32">
        <f>IF(A87&lt;='Loan Input Parameters'!$B$16,'Loan Input Parameters'!$B$23,0)</f>
        <v>0</v>
      </c>
      <c r="G87" s="32" t="str">
        <f>IF($A87&lt;'Loan Input Parameters'!$B$16,D87-E87-F87,"0.00")</f>
        <v>0.00</v>
      </c>
      <c r="H87" s="32" t="str">
        <f>IF($A87&lt;'Loan Input Parameters'!$B$16,C87-G87,"0.00")</f>
        <v>0.00</v>
      </c>
      <c r="I87" s="45">
        <f>H87/'Loan Input Parameters'!$B$13</f>
        <v>0</v>
      </c>
      <c r="J87" s="45">
        <f t="shared" si="12"/>
        <v>0.1</v>
      </c>
      <c r="K87" s="76" cm="1">
        <f t="array" ref="K87">IF(
AND(MONTH($B87)=1,SUMPRODUCT(--(MONTH($B$4:B87)=1))=1),
K86*(1-22%*J87),
IF(
AND(MONTH($B87)=1,SUMPRODUCT(--(MONTH($B$4:B87)=1))=2),
K86*(1-20%*J87),
IF($A87&lt;13,K86*(1-(J87*4%)),
IF($A87&lt;25,K86*(1-(J87*5%)),K86*(1-J87/12)
)
)
))</f>
        <v>206349.00870896559</v>
      </c>
      <c r="L87" s="76">
        <f>IF(K87*'Loan Input Parameters'!$B$41&lt;'Loan Input Parameters'!$B$42,'Loan Input Parameters'!$B$42,K87*'Loan Input Parameters'!$B$41)</f>
        <v>0</v>
      </c>
      <c r="M87" s="76">
        <f t="shared" si="18"/>
        <v>206349.00870896559</v>
      </c>
      <c r="N87" s="77">
        <f t="shared" si="19"/>
        <v>-206349.00870896559</v>
      </c>
      <c r="O87" s="76">
        <f>IF('Loan Input Parameters'!$B$8*3%&lt;=4000,4000,IF('Loan Input Parameters'!$B$8*3%&gt;=18000,18000,'Loan Input Parameters'!$B$8*3%))</f>
        <v>15000</v>
      </c>
      <c r="P87" s="76">
        <f t="shared" si="14"/>
        <v>15000</v>
      </c>
    </row>
    <row r="88" spans="1:16" ht="14.4" thickBot="1" x14ac:dyDescent="0.35">
      <c r="A88" s="75">
        <f t="shared" si="15"/>
        <v>85</v>
      </c>
      <c r="B88" s="34">
        <f t="shared" si="16"/>
        <v>47787</v>
      </c>
      <c r="C88" s="32">
        <f t="shared" si="17"/>
        <v>0</v>
      </c>
      <c r="D88" s="32">
        <f>IF(A88&lt;'Loan Input Parameters'!$B$16,'Loan Input Parameters'!$B$24,IF(A88='Loan Input Parameters'!$B$16,'Loan Input Parameters'!$B$24,0))</f>
        <v>0</v>
      </c>
      <c r="E88" s="32" t="str">
        <f>IF($A88&lt;'Loan Input Parameters'!$B$16,C88*'Loan Input Parameters'!$B$15/12,"0.00")</f>
        <v>0.00</v>
      </c>
      <c r="F88" s="32">
        <f>IF(A88&lt;='Loan Input Parameters'!$B$16,'Loan Input Parameters'!$B$23,0)</f>
        <v>0</v>
      </c>
      <c r="G88" s="32" t="str">
        <f>IF($A88&lt;'Loan Input Parameters'!$B$16,D88-E88-F88,"0.00")</f>
        <v>0.00</v>
      </c>
      <c r="H88" s="32" t="str">
        <f>IF($A88&lt;'Loan Input Parameters'!$B$16,C88-G88,"0.00")</f>
        <v>0.00</v>
      </c>
      <c r="I88" s="45">
        <f>H88/'Loan Input Parameters'!$B$13</f>
        <v>0</v>
      </c>
      <c r="J88" s="45">
        <f>J87</f>
        <v>0.1</v>
      </c>
      <c r="K88" s="76" cm="1">
        <f t="array" ref="K88">IF(
AND(MONTH($B88)=1,SUMPRODUCT(--(MONTH($B$4:B88)=1))=1),
K87*(1-22%*J88),
IF(
AND(MONTH($B88)=1,SUMPRODUCT(--(MONTH($B$4:B88)=1))=2),
K87*(1-20%*J88),
IF($A88&lt;13,K87*(1-(J88*4%)),
IF($A88&lt;25,K87*(1-(J88*5%)),K87*(1-J88/12)
)
)
))</f>
        <v>204629.43363639087</v>
      </c>
      <c r="L88" s="76">
        <f>IF(K88*'Loan Input Parameters'!$B$41&lt;'Loan Input Parameters'!$B$42,'Loan Input Parameters'!$B$42,K88*'Loan Input Parameters'!$B$41)</f>
        <v>0</v>
      </c>
      <c r="M88" s="76">
        <f t="shared" si="18"/>
        <v>204629.43363639087</v>
      </c>
      <c r="N88" s="77">
        <f t="shared" si="19"/>
        <v>-204629.43363639087</v>
      </c>
      <c r="O88" s="76">
        <f>IF('Loan Input Parameters'!$B$8*3%&lt;=4000,4000,IF('Loan Input Parameters'!$B$8*3%&gt;=18000,18000,'Loan Input Parameters'!$B$8*3%))</f>
        <v>15000</v>
      </c>
      <c r="P88" s="76">
        <f t="shared" si="14"/>
        <v>15000</v>
      </c>
    </row>
    <row r="89" spans="1:16" ht="14.4" thickBot="1" x14ac:dyDescent="0.35">
      <c r="A89" s="75">
        <f t="shared" si="15"/>
        <v>86</v>
      </c>
      <c r="B89" s="34">
        <f t="shared" si="16"/>
        <v>47817</v>
      </c>
      <c r="C89" s="32">
        <f t="shared" si="17"/>
        <v>0</v>
      </c>
      <c r="D89" s="32">
        <f>IF(A89&lt;'Loan Input Parameters'!$B$16,'Loan Input Parameters'!$B$24,IF(A89='Loan Input Parameters'!$B$16,'Loan Input Parameters'!$B$24,0))</f>
        <v>0</v>
      </c>
      <c r="E89" s="32" t="str">
        <f>IF($A89&lt;'Loan Input Parameters'!$B$16,C89*'Loan Input Parameters'!$B$15/12,"0.00")</f>
        <v>0.00</v>
      </c>
      <c r="F89" s="32">
        <f>IF(A89&lt;='Loan Input Parameters'!$B$16,'Loan Input Parameters'!$B$23,0)</f>
        <v>0</v>
      </c>
      <c r="G89" s="32" t="str">
        <f>IF($A89&lt;'Loan Input Parameters'!$B$16,D89-E89-F89,"0.00")</f>
        <v>0.00</v>
      </c>
      <c r="H89" s="32" t="str">
        <f>IF($A89&lt;'Loan Input Parameters'!$B$16,C89-G89,"0.00")</f>
        <v>0.00</v>
      </c>
      <c r="I89" s="45">
        <f>H89/'Loan Input Parameters'!$B$13</f>
        <v>0</v>
      </c>
      <c r="J89" s="45">
        <f t="shared" si="12"/>
        <v>0.1</v>
      </c>
      <c r="K89" s="76" cm="1">
        <f t="array" ref="K89">IF(
AND(MONTH($B89)=1,SUMPRODUCT(--(MONTH($B$4:B89)=1))=1),
K88*(1-22%*J89),
IF(
AND(MONTH($B89)=1,SUMPRODUCT(--(MONTH($B$4:B89)=1))=2),
K88*(1-20%*J89),
IF($A89&lt;13,K88*(1-(J89*4%)),
IF($A89&lt;25,K88*(1-(J89*5%)),K88*(1-J89/12)
)
)
))</f>
        <v>202924.1883560876</v>
      </c>
      <c r="L89" s="76">
        <f>IF(K89*'Loan Input Parameters'!$B$41&lt;'Loan Input Parameters'!$B$42,'Loan Input Parameters'!$B$42,K89*'Loan Input Parameters'!$B$41)</f>
        <v>0</v>
      </c>
      <c r="M89" s="76">
        <f t="shared" si="18"/>
        <v>202924.1883560876</v>
      </c>
      <c r="N89" s="77">
        <f t="shared" si="19"/>
        <v>-202924.1883560876</v>
      </c>
      <c r="O89" s="76">
        <f>IF('Loan Input Parameters'!$B$8*3%&lt;=4000,4000,IF('Loan Input Parameters'!$B$8*3%&gt;=18000,18000,'Loan Input Parameters'!$B$8*3%))</f>
        <v>15000</v>
      </c>
      <c r="P89" s="76">
        <f t="shared" si="14"/>
        <v>15000</v>
      </c>
    </row>
    <row r="90" spans="1:16" ht="14.4" thickBot="1" x14ac:dyDescent="0.35">
      <c r="A90" s="75">
        <f t="shared" si="15"/>
        <v>87</v>
      </c>
      <c r="B90" s="34">
        <f t="shared" si="16"/>
        <v>47848</v>
      </c>
      <c r="C90" s="32">
        <f t="shared" si="17"/>
        <v>0</v>
      </c>
      <c r="D90" s="32">
        <f>IF(A90&lt;'Loan Input Parameters'!$B$16,'Loan Input Parameters'!$B$24,IF(A90='Loan Input Parameters'!$B$16,'Loan Input Parameters'!$B$24,0))</f>
        <v>0</v>
      </c>
      <c r="E90" s="32" t="str">
        <f>IF($A90&lt;'Loan Input Parameters'!$B$16,C90*'Loan Input Parameters'!$B$15/12,"0.00")</f>
        <v>0.00</v>
      </c>
      <c r="F90" s="32">
        <f>IF(A90&lt;='Loan Input Parameters'!$B$16,'Loan Input Parameters'!$B$23,0)</f>
        <v>0</v>
      </c>
      <c r="G90" s="32" t="str">
        <f>IF($A90&lt;'Loan Input Parameters'!$B$16,D90-E90-F90,"0.00")</f>
        <v>0.00</v>
      </c>
      <c r="H90" s="32" t="str">
        <f>IF($A90&lt;'Loan Input Parameters'!$B$16,C90-G90,"0.00")</f>
        <v>0.00</v>
      </c>
      <c r="I90" s="45">
        <f>H90/'Loan Input Parameters'!$B$13</f>
        <v>0</v>
      </c>
      <c r="J90" s="45">
        <f t="shared" si="12"/>
        <v>0.1</v>
      </c>
      <c r="K90" s="76" cm="1">
        <f t="array" ref="K90">IF(
AND(MONTH($B90)=1,SUMPRODUCT(--(MONTH($B$4:B90)=1))=1),
K89*(1-22%*J90),
IF(
AND(MONTH($B90)=1,SUMPRODUCT(--(MONTH($B$4:B90)=1))=2),
K89*(1-20%*J90),
IF($A90&lt;13,K89*(1-(J90*4%)),
IF($A90&lt;25,K89*(1-(J90*5%)),K89*(1-J90/12)
)
)
))</f>
        <v>201233.15345312021</v>
      </c>
      <c r="L90" s="76">
        <f>IF(K90*'Loan Input Parameters'!$B$41&lt;'Loan Input Parameters'!$B$42,'Loan Input Parameters'!$B$42,K90*'Loan Input Parameters'!$B$41)</f>
        <v>0</v>
      </c>
      <c r="M90" s="76">
        <f t="shared" si="18"/>
        <v>201233.15345312021</v>
      </c>
      <c r="N90" s="77">
        <f t="shared" si="19"/>
        <v>-201233.15345312021</v>
      </c>
      <c r="O90" s="76">
        <f>IF('Loan Input Parameters'!$B$8*3%&lt;=4000,4000,IF('Loan Input Parameters'!$B$8*3%&gt;=18000,18000,'Loan Input Parameters'!$B$8*3%))</f>
        <v>15000</v>
      </c>
      <c r="P90" s="76">
        <f t="shared" si="14"/>
        <v>15000</v>
      </c>
    </row>
    <row r="91" spans="1:16" ht="14.4" thickBot="1" x14ac:dyDescent="0.35">
      <c r="A91" s="75">
        <f t="shared" si="15"/>
        <v>88</v>
      </c>
      <c r="B91" s="34">
        <f t="shared" si="16"/>
        <v>47879</v>
      </c>
      <c r="C91" s="32">
        <f t="shared" si="17"/>
        <v>0</v>
      </c>
      <c r="D91" s="32">
        <f>IF(A91&lt;'Loan Input Parameters'!$B$16,'Loan Input Parameters'!$B$24,IF(A91='Loan Input Parameters'!$B$16,'Loan Input Parameters'!$B$24,0))</f>
        <v>0</v>
      </c>
      <c r="E91" s="32" t="str">
        <f>IF($A91&lt;'Loan Input Parameters'!$B$16,C91*'Loan Input Parameters'!$B$15/12,"0.00")</f>
        <v>0.00</v>
      </c>
      <c r="F91" s="32">
        <f>IF(A91&lt;='Loan Input Parameters'!$B$16,'Loan Input Parameters'!$B$23,0)</f>
        <v>0</v>
      </c>
      <c r="G91" s="32" t="str">
        <f>IF($A91&lt;'Loan Input Parameters'!$B$16,D91-E91-F91,"0.00")</f>
        <v>0.00</v>
      </c>
      <c r="H91" s="32" t="str">
        <f>IF($A91&lt;'Loan Input Parameters'!$B$16,C91-G91,"0.00")</f>
        <v>0.00</v>
      </c>
      <c r="I91" s="45">
        <f>H91/'Loan Input Parameters'!$B$13</f>
        <v>0</v>
      </c>
      <c r="J91" s="45">
        <f t="shared" si="12"/>
        <v>0.1</v>
      </c>
      <c r="K91" s="76" cm="1">
        <f t="array" ref="K91">IF(
AND(MONTH($B91)=1,SUMPRODUCT(--(MONTH($B$4:B91)=1))=1),
K90*(1-22%*J91),
IF(
AND(MONTH($B91)=1,SUMPRODUCT(--(MONTH($B$4:B91)=1))=2),
K90*(1-20%*J91),
IF($A91&lt;13,K90*(1-(J91*4%)),
IF($A91&lt;25,K90*(1-(J91*5%)),K90*(1-J91/12)
)
)
))</f>
        <v>199556.21050767755</v>
      </c>
      <c r="L91" s="76">
        <f>IF(K91*'Loan Input Parameters'!$B$41&lt;'Loan Input Parameters'!$B$42,'Loan Input Parameters'!$B$42,K91*'Loan Input Parameters'!$B$41)</f>
        <v>0</v>
      </c>
      <c r="M91" s="76">
        <f t="shared" si="18"/>
        <v>199556.21050767755</v>
      </c>
      <c r="N91" s="77">
        <f t="shared" si="19"/>
        <v>-199556.21050767755</v>
      </c>
      <c r="O91" s="76">
        <f>IF('Loan Input Parameters'!$B$8*3%&lt;=4000,4000,IF('Loan Input Parameters'!$B$8*3%&gt;=18000,18000,'Loan Input Parameters'!$B$8*3%))</f>
        <v>15000</v>
      </c>
      <c r="P91" s="76">
        <f t="shared" si="14"/>
        <v>15000</v>
      </c>
    </row>
    <row r="92" spans="1:16" ht="14.4" thickBot="1" x14ac:dyDescent="0.35">
      <c r="A92" s="75">
        <f t="shared" si="15"/>
        <v>89</v>
      </c>
      <c r="B92" s="34">
        <f t="shared" si="16"/>
        <v>47907</v>
      </c>
      <c r="C92" s="32">
        <f t="shared" si="17"/>
        <v>0</v>
      </c>
      <c r="D92" s="32">
        <f>IF(A92&lt;'Loan Input Parameters'!$B$16,'Loan Input Parameters'!$B$24,IF(A92='Loan Input Parameters'!$B$16,'Loan Input Parameters'!$B$24,0))</f>
        <v>0</v>
      </c>
      <c r="E92" s="32" t="str">
        <f>IF($A92&lt;'Loan Input Parameters'!$B$16,C92*'Loan Input Parameters'!$B$15/12,"0.00")</f>
        <v>0.00</v>
      </c>
      <c r="F92" s="32">
        <f>IF(A92&lt;='Loan Input Parameters'!$B$16,'Loan Input Parameters'!$B$23,0)</f>
        <v>0</v>
      </c>
      <c r="G92" s="32" t="str">
        <f>IF($A92&lt;'Loan Input Parameters'!$B$16,D92-E92-F92,"0.00")</f>
        <v>0.00</v>
      </c>
      <c r="H92" s="32" t="str">
        <f>IF($A92&lt;'Loan Input Parameters'!$B$16,C92-G92,"0.00")</f>
        <v>0.00</v>
      </c>
      <c r="I92" s="45">
        <f>H92/'Loan Input Parameters'!$B$13</f>
        <v>0</v>
      </c>
      <c r="J92" s="45">
        <f t="shared" si="12"/>
        <v>0.1</v>
      </c>
      <c r="K92" s="76" cm="1">
        <f t="array" ref="K92">IF(
AND(MONTH($B92)=1,SUMPRODUCT(--(MONTH($B$4:B92)=1))=1),
K91*(1-22%*J92),
IF(
AND(MONTH($B92)=1,SUMPRODUCT(--(MONTH($B$4:B92)=1))=2),
K91*(1-20%*J92),
IF($A92&lt;13,K91*(1-(J92*4%)),
IF($A92&lt;25,K91*(1-(J92*5%)),K91*(1-J92/12)
)
)
))</f>
        <v>197893.24208678023</v>
      </c>
      <c r="L92" s="76">
        <f>IF(K92*'Loan Input Parameters'!$B$41&lt;'Loan Input Parameters'!$B$42,'Loan Input Parameters'!$B$42,K92*'Loan Input Parameters'!$B$41)</f>
        <v>0</v>
      </c>
      <c r="M92" s="76">
        <f t="shared" si="18"/>
        <v>197893.24208678023</v>
      </c>
      <c r="N92" s="77">
        <f t="shared" si="19"/>
        <v>-197893.24208678023</v>
      </c>
      <c r="O92" s="76">
        <f>IF('Loan Input Parameters'!$B$8*3%&lt;=4000,4000,IF('Loan Input Parameters'!$B$8*3%&gt;=18000,18000,'Loan Input Parameters'!$B$8*3%))</f>
        <v>15000</v>
      </c>
      <c r="P92" s="76">
        <f t="shared" si="14"/>
        <v>15000</v>
      </c>
    </row>
    <row r="93" spans="1:16" ht="14.4" thickBot="1" x14ac:dyDescent="0.35">
      <c r="A93" s="75">
        <f t="shared" si="15"/>
        <v>90</v>
      </c>
      <c r="B93" s="34">
        <f t="shared" si="16"/>
        <v>47938</v>
      </c>
      <c r="C93" s="32">
        <f t="shared" si="17"/>
        <v>0</v>
      </c>
      <c r="D93" s="32">
        <f>IF(A93&lt;'Loan Input Parameters'!$B$16,'Loan Input Parameters'!$B$24,IF(A93='Loan Input Parameters'!$B$16,'Loan Input Parameters'!$B$24,0))</f>
        <v>0</v>
      </c>
      <c r="E93" s="32" t="str">
        <f>IF($A93&lt;'Loan Input Parameters'!$B$16,C93*'Loan Input Parameters'!$B$15/12,"0.00")</f>
        <v>0.00</v>
      </c>
      <c r="F93" s="32">
        <f>IF(A93&lt;='Loan Input Parameters'!$B$16,'Loan Input Parameters'!$B$23,0)</f>
        <v>0</v>
      </c>
      <c r="G93" s="32" t="str">
        <f>IF($A93&lt;'Loan Input Parameters'!$B$16,D93-E93-F93,"0.00")</f>
        <v>0.00</v>
      </c>
      <c r="H93" s="32" t="str">
        <f>IF($A93&lt;'Loan Input Parameters'!$B$16,C93-G93,"0.00")</f>
        <v>0.00</v>
      </c>
      <c r="I93" s="45">
        <f>H93/'Loan Input Parameters'!$B$13</f>
        <v>0</v>
      </c>
      <c r="J93" s="45">
        <f t="shared" si="12"/>
        <v>0.1</v>
      </c>
      <c r="K93" s="76" cm="1">
        <f t="array" ref="K93">IF(
AND(MONTH($B93)=1,SUMPRODUCT(--(MONTH($B$4:B93)=1))=1),
K92*(1-22%*J93),
IF(
AND(MONTH($B93)=1,SUMPRODUCT(--(MONTH($B$4:B93)=1))=2),
K92*(1-20%*J93),
IF($A93&lt;13,K92*(1-(J93*4%)),
IF($A93&lt;25,K92*(1-(J93*5%)),K92*(1-J93/12)
)
)
))</f>
        <v>196244.13173605705</v>
      </c>
      <c r="L93" s="76">
        <f>IF(K93*'Loan Input Parameters'!$B$41&lt;'Loan Input Parameters'!$B$42,'Loan Input Parameters'!$B$42,K93*'Loan Input Parameters'!$B$41)</f>
        <v>0</v>
      </c>
      <c r="M93" s="76">
        <f t="shared" si="18"/>
        <v>196244.13173605705</v>
      </c>
      <c r="N93" s="77">
        <f t="shared" si="19"/>
        <v>-196244.13173605705</v>
      </c>
      <c r="O93" s="76">
        <f>IF('Loan Input Parameters'!$B$8*3%&lt;=4000,4000,IF('Loan Input Parameters'!$B$8*3%&gt;=18000,18000,'Loan Input Parameters'!$B$8*3%))</f>
        <v>15000</v>
      </c>
      <c r="P93" s="76">
        <f t="shared" si="14"/>
        <v>15000</v>
      </c>
    </row>
    <row r="94" spans="1:16" ht="14.4" thickBot="1" x14ac:dyDescent="0.35">
      <c r="A94" s="75">
        <f t="shared" si="15"/>
        <v>91</v>
      </c>
      <c r="B94" s="34">
        <f t="shared" si="16"/>
        <v>47968</v>
      </c>
      <c r="C94" s="32">
        <f t="shared" si="17"/>
        <v>0</v>
      </c>
      <c r="D94" s="32">
        <f>IF(A94&lt;'Loan Input Parameters'!$B$16,'Loan Input Parameters'!$B$24,IF(A94='Loan Input Parameters'!$B$16,'Loan Input Parameters'!$B$24,0))</f>
        <v>0</v>
      </c>
      <c r="E94" s="32" t="str">
        <f>IF($A94&lt;'Loan Input Parameters'!$B$16,C94*'Loan Input Parameters'!$B$15/12,"0.00")</f>
        <v>0.00</v>
      </c>
      <c r="F94" s="32">
        <f>IF(A94&lt;='Loan Input Parameters'!$B$16,'Loan Input Parameters'!$B$23,0)</f>
        <v>0</v>
      </c>
      <c r="G94" s="32" t="str">
        <f>IF($A94&lt;'Loan Input Parameters'!$B$16,D94-E94-F94,"0.00")</f>
        <v>0.00</v>
      </c>
      <c r="H94" s="32" t="str">
        <f>IF($A94&lt;'Loan Input Parameters'!$B$16,C94-G94,"0.00")</f>
        <v>0.00</v>
      </c>
      <c r="I94" s="45">
        <f>H94/'Loan Input Parameters'!$B$13</f>
        <v>0</v>
      </c>
      <c r="J94" s="45">
        <f t="shared" si="12"/>
        <v>0.1</v>
      </c>
      <c r="K94" s="76" cm="1">
        <f t="array" ref="K94">IF(
AND(MONTH($B94)=1,SUMPRODUCT(--(MONTH($B$4:B94)=1))=1),
K93*(1-22%*J94),
IF(
AND(MONTH($B94)=1,SUMPRODUCT(--(MONTH($B$4:B94)=1))=2),
K93*(1-20%*J94),
IF($A94&lt;13,K93*(1-(J94*4%)),
IF($A94&lt;25,K93*(1-(J94*5%)),K93*(1-J94/12)
)
)
))</f>
        <v>194608.76397158991</v>
      </c>
      <c r="L94" s="76">
        <f>IF(K94*'Loan Input Parameters'!$B$41&lt;'Loan Input Parameters'!$B$42,'Loan Input Parameters'!$B$42,K94*'Loan Input Parameters'!$B$41)</f>
        <v>0</v>
      </c>
      <c r="M94" s="76">
        <f t="shared" si="18"/>
        <v>194608.76397158991</v>
      </c>
      <c r="N94" s="77">
        <f t="shared" si="19"/>
        <v>-194608.76397158991</v>
      </c>
      <c r="O94" s="76">
        <f>IF('Loan Input Parameters'!$B$8*3%&lt;=4000,4000,IF('Loan Input Parameters'!$B$8*3%&gt;=18000,18000,'Loan Input Parameters'!$B$8*3%))</f>
        <v>15000</v>
      </c>
      <c r="P94" s="76">
        <f t="shared" si="14"/>
        <v>15000</v>
      </c>
    </row>
    <row r="95" spans="1:16" ht="14.4" thickBot="1" x14ac:dyDescent="0.35">
      <c r="A95" s="75">
        <f t="shared" si="15"/>
        <v>92</v>
      </c>
      <c r="B95" s="34">
        <f t="shared" si="16"/>
        <v>47999</v>
      </c>
      <c r="C95" s="32">
        <f t="shared" si="17"/>
        <v>0</v>
      </c>
      <c r="D95" s="32">
        <f>IF(A95&lt;'Loan Input Parameters'!$B$16,'Loan Input Parameters'!$B$24,IF(A95='Loan Input Parameters'!$B$16,'Loan Input Parameters'!$B$24,0))</f>
        <v>0</v>
      </c>
      <c r="E95" s="32" t="str">
        <f>IF($A95&lt;'Loan Input Parameters'!$B$16,C95*'Loan Input Parameters'!$B$15/12,"0.00")</f>
        <v>0.00</v>
      </c>
      <c r="F95" s="32">
        <f>IF(A95&lt;='Loan Input Parameters'!$B$16,'Loan Input Parameters'!$B$23,0)</f>
        <v>0</v>
      </c>
      <c r="G95" s="32" t="str">
        <f>IF($A95&lt;'Loan Input Parameters'!$B$16,D95-E95-F95,"0.00")</f>
        <v>0.00</v>
      </c>
      <c r="H95" s="32" t="str">
        <f>IF($A95&lt;'Loan Input Parameters'!$B$16,C95-G95,"0.00")</f>
        <v>0.00</v>
      </c>
      <c r="I95" s="45">
        <f>H95/'Loan Input Parameters'!$B$13</f>
        <v>0</v>
      </c>
      <c r="J95" s="45">
        <f t="shared" si="12"/>
        <v>0.1</v>
      </c>
      <c r="K95" s="76" cm="1">
        <f t="array" ref="K95">IF(
AND(MONTH($B95)=1,SUMPRODUCT(--(MONTH($B$4:B95)=1))=1),
K94*(1-22%*J95),
IF(
AND(MONTH($B95)=1,SUMPRODUCT(--(MONTH($B$4:B95)=1))=2),
K94*(1-20%*J95),
IF($A95&lt;13,K94*(1-(J95*4%)),
IF($A95&lt;25,K94*(1-(J95*5%)),K94*(1-J95/12)
)
)
))</f>
        <v>192987.02427182667</v>
      </c>
      <c r="L95" s="76">
        <f>IF(K95*'Loan Input Parameters'!$B$41&lt;'Loan Input Parameters'!$B$42,'Loan Input Parameters'!$B$42,K95*'Loan Input Parameters'!$B$41)</f>
        <v>0</v>
      </c>
      <c r="M95" s="76">
        <f t="shared" si="18"/>
        <v>192987.02427182667</v>
      </c>
      <c r="N95" s="77">
        <f t="shared" si="19"/>
        <v>-192987.02427182667</v>
      </c>
      <c r="O95" s="76">
        <f>IF('Loan Input Parameters'!$B$8*3%&lt;=4000,4000,IF('Loan Input Parameters'!$B$8*3%&gt;=18000,18000,'Loan Input Parameters'!$B$8*3%))</f>
        <v>15000</v>
      </c>
      <c r="P95" s="76">
        <f t="shared" si="14"/>
        <v>15000</v>
      </c>
    </row>
    <row r="96" spans="1:16" ht="14.4" thickBot="1" x14ac:dyDescent="0.35">
      <c r="A96" s="75">
        <f t="shared" si="15"/>
        <v>93</v>
      </c>
      <c r="B96" s="34">
        <f t="shared" si="16"/>
        <v>48029</v>
      </c>
      <c r="C96" s="32">
        <f t="shared" si="17"/>
        <v>0</v>
      </c>
      <c r="D96" s="32">
        <f>IF(A96&lt;'Loan Input Parameters'!$B$16,'Loan Input Parameters'!$B$24,IF(A96='Loan Input Parameters'!$B$16,'Loan Input Parameters'!$B$24,0))</f>
        <v>0</v>
      </c>
      <c r="E96" s="32" t="str">
        <f>IF($A96&lt;'Loan Input Parameters'!$B$16,C96*'Loan Input Parameters'!$B$15/12,"0.00")</f>
        <v>0.00</v>
      </c>
      <c r="F96" s="32">
        <f>IF(A96&lt;='Loan Input Parameters'!$B$16,'Loan Input Parameters'!$B$23,0)</f>
        <v>0</v>
      </c>
      <c r="G96" s="32" t="str">
        <f>IF($A96&lt;'Loan Input Parameters'!$B$16,D96-E96-F96,"0.00")</f>
        <v>0.00</v>
      </c>
      <c r="H96" s="32" t="str">
        <f>IF($A96&lt;'Loan Input Parameters'!$B$16,C96-G96,"0.00")</f>
        <v>0.00</v>
      </c>
      <c r="I96" s="45">
        <f>H96/'Loan Input Parameters'!$B$13</f>
        <v>0</v>
      </c>
      <c r="J96" s="45">
        <f t="shared" si="12"/>
        <v>0.1</v>
      </c>
      <c r="K96" s="76" cm="1">
        <f t="array" ref="K96">IF(
AND(MONTH($B96)=1,SUMPRODUCT(--(MONTH($B$4:B96)=1))=1),
K95*(1-22%*J96),
IF(
AND(MONTH($B96)=1,SUMPRODUCT(--(MONTH($B$4:B96)=1))=2),
K95*(1-20%*J96),
IF($A96&lt;13,K95*(1-(J96*4%)),
IF($A96&lt;25,K95*(1-(J96*5%)),K95*(1-J96/12)
)
)
))</f>
        <v>191378.79906956144</v>
      </c>
      <c r="L96" s="76">
        <f>IF(K96*'Loan Input Parameters'!$B$41&lt;'Loan Input Parameters'!$B$42,'Loan Input Parameters'!$B$42,K96*'Loan Input Parameters'!$B$41)</f>
        <v>0</v>
      </c>
      <c r="M96" s="76">
        <f t="shared" si="18"/>
        <v>191378.79906956144</v>
      </c>
      <c r="N96" s="77">
        <f t="shared" si="19"/>
        <v>-191378.79906956144</v>
      </c>
      <c r="O96" s="76">
        <f>IF('Loan Input Parameters'!$B$8*3%&lt;=4000,4000,IF('Loan Input Parameters'!$B$8*3%&gt;=18000,18000,'Loan Input Parameters'!$B$8*3%))</f>
        <v>15000</v>
      </c>
      <c r="P96" s="76">
        <f t="shared" si="14"/>
        <v>15000</v>
      </c>
    </row>
    <row r="97" spans="1:16" ht="14.4" thickBot="1" x14ac:dyDescent="0.35">
      <c r="A97" s="75">
        <f t="shared" si="15"/>
        <v>94</v>
      </c>
      <c r="B97" s="34">
        <f t="shared" si="16"/>
        <v>48060</v>
      </c>
      <c r="C97" s="32">
        <f t="shared" si="17"/>
        <v>0</v>
      </c>
      <c r="D97" s="32">
        <f>IF(A97&lt;'Loan Input Parameters'!$B$16,'Loan Input Parameters'!$B$24,IF(A97='Loan Input Parameters'!$B$16,'Loan Input Parameters'!$B$24,0))</f>
        <v>0</v>
      </c>
      <c r="E97" s="32" t="str">
        <f>IF($A97&lt;'Loan Input Parameters'!$B$16,C97*'Loan Input Parameters'!$B$15/12,"0.00")</f>
        <v>0.00</v>
      </c>
      <c r="F97" s="32">
        <f>IF(A97&lt;='Loan Input Parameters'!$B$16,'Loan Input Parameters'!$B$23,0)</f>
        <v>0</v>
      </c>
      <c r="G97" s="32" t="str">
        <f>IF($A97&lt;'Loan Input Parameters'!$B$16,D97-E97-F97,"0.00")</f>
        <v>0.00</v>
      </c>
      <c r="H97" s="32" t="str">
        <f>IF($A97&lt;'Loan Input Parameters'!$B$16,C97-G97,"0.00")</f>
        <v>0.00</v>
      </c>
      <c r="I97" s="45">
        <f>H97/'Loan Input Parameters'!$B$13</f>
        <v>0</v>
      </c>
      <c r="J97" s="45">
        <f t="shared" si="12"/>
        <v>0.1</v>
      </c>
      <c r="K97" s="76" cm="1">
        <f t="array" ref="K97">IF(
AND(MONTH($B97)=1,SUMPRODUCT(--(MONTH($B$4:B97)=1))=1),
K96*(1-22%*J97),
IF(
AND(MONTH($B97)=1,SUMPRODUCT(--(MONTH($B$4:B97)=1))=2),
K96*(1-20%*J97),
IF($A97&lt;13,K96*(1-(J97*4%)),
IF($A97&lt;25,K96*(1-(J97*5%)),K96*(1-J97/12)
)
)
))</f>
        <v>189783.97574398178</v>
      </c>
      <c r="L97" s="76">
        <f>IF(K97*'Loan Input Parameters'!$B$41&lt;'Loan Input Parameters'!$B$42,'Loan Input Parameters'!$B$42,K97*'Loan Input Parameters'!$B$41)</f>
        <v>0</v>
      </c>
      <c r="M97" s="76">
        <f t="shared" si="18"/>
        <v>189783.97574398178</v>
      </c>
      <c r="N97" s="77">
        <f t="shared" si="19"/>
        <v>-189783.97574398178</v>
      </c>
      <c r="O97" s="76">
        <f>IF('Loan Input Parameters'!$B$8*3%&lt;=4000,4000,IF('Loan Input Parameters'!$B$8*3%&gt;=18000,18000,'Loan Input Parameters'!$B$8*3%))</f>
        <v>15000</v>
      </c>
      <c r="P97" s="76">
        <f t="shared" si="14"/>
        <v>15000</v>
      </c>
    </row>
    <row r="98" spans="1:16" ht="14.4" thickBot="1" x14ac:dyDescent="0.35">
      <c r="A98" s="75">
        <f t="shared" si="15"/>
        <v>95</v>
      </c>
      <c r="B98" s="34">
        <f t="shared" si="16"/>
        <v>48091</v>
      </c>
      <c r="C98" s="32">
        <f t="shared" si="17"/>
        <v>0</v>
      </c>
      <c r="D98" s="32">
        <f>IF(A98&lt;'Loan Input Parameters'!$B$16,'Loan Input Parameters'!$B$24,IF(A98='Loan Input Parameters'!$B$16,'Loan Input Parameters'!$B$24,0))</f>
        <v>0</v>
      </c>
      <c r="E98" s="32" t="str">
        <f>IF($A98&lt;'Loan Input Parameters'!$B$16,C98*'Loan Input Parameters'!$B$15/12,"0.00")</f>
        <v>0.00</v>
      </c>
      <c r="F98" s="32">
        <f>IF(A98&lt;='Loan Input Parameters'!$B$16,'Loan Input Parameters'!$B$23,0)</f>
        <v>0</v>
      </c>
      <c r="G98" s="32" t="str">
        <f>IF($A98&lt;'Loan Input Parameters'!$B$16,D98-E98-F98,"0.00")</f>
        <v>0.00</v>
      </c>
      <c r="H98" s="32" t="str">
        <f>IF($A98&lt;'Loan Input Parameters'!$B$16,C98-G98,"0.00")</f>
        <v>0.00</v>
      </c>
      <c r="I98" s="45">
        <f>H98/'Loan Input Parameters'!$B$13</f>
        <v>0</v>
      </c>
      <c r="J98" s="45">
        <f t="shared" si="12"/>
        <v>0.1</v>
      </c>
      <c r="K98" s="76" cm="1">
        <f t="array" ref="K98">IF(
AND(MONTH($B98)=1,SUMPRODUCT(--(MONTH($B$4:B98)=1))=1),
K97*(1-22%*J98),
IF(
AND(MONTH($B98)=1,SUMPRODUCT(--(MONTH($B$4:B98)=1))=2),
K97*(1-20%*J98),
IF($A98&lt;13,K97*(1-(J98*4%)),
IF($A98&lt;25,K97*(1-(J98*5%)),K97*(1-J98/12)
)
)
))</f>
        <v>188202.44261278195</v>
      </c>
      <c r="L98" s="76">
        <f>IF(K98*'Loan Input Parameters'!$B$41&lt;'Loan Input Parameters'!$B$42,'Loan Input Parameters'!$B$42,K98*'Loan Input Parameters'!$B$41)</f>
        <v>0</v>
      </c>
      <c r="M98" s="76">
        <f t="shared" si="18"/>
        <v>188202.44261278195</v>
      </c>
      <c r="N98" s="77">
        <f t="shared" si="19"/>
        <v>-188202.44261278195</v>
      </c>
      <c r="O98" s="76">
        <f>IF('Loan Input Parameters'!$B$8*3%&lt;=4000,4000,IF('Loan Input Parameters'!$B$8*3%&gt;=18000,18000,'Loan Input Parameters'!$B$8*3%))</f>
        <v>15000</v>
      </c>
      <c r="P98" s="76">
        <f t="shared" si="14"/>
        <v>15000</v>
      </c>
    </row>
    <row r="99" spans="1:16" ht="14.4" thickBot="1" x14ac:dyDescent="0.35">
      <c r="A99" s="75">
        <f t="shared" si="15"/>
        <v>96</v>
      </c>
      <c r="B99" s="34">
        <f t="shared" si="16"/>
        <v>48121</v>
      </c>
      <c r="C99" s="32">
        <f t="shared" si="17"/>
        <v>0</v>
      </c>
      <c r="D99" s="32">
        <f>IF(A99&lt;'Loan Input Parameters'!$B$16,'Loan Input Parameters'!$B$24,IF(A99='Loan Input Parameters'!$B$16,'Loan Input Parameters'!$B$24,0))</f>
        <v>0</v>
      </c>
      <c r="E99" s="32" t="str">
        <f>IF($A99&lt;'Loan Input Parameters'!$B$16,C99*'Loan Input Parameters'!$B$15/12,"0.00")</f>
        <v>0.00</v>
      </c>
      <c r="F99" s="32">
        <f>IF(A99&lt;='Loan Input Parameters'!$B$16,'Loan Input Parameters'!$B$23,0)</f>
        <v>0</v>
      </c>
      <c r="G99" s="32" t="str">
        <f>IF($A99&lt;'Loan Input Parameters'!$B$16,D99-E99-F99,"0.00")</f>
        <v>0.00</v>
      </c>
      <c r="H99" s="32" t="str">
        <f>IF($A99&lt;'Loan Input Parameters'!$B$16,C99-G99,"0.00")</f>
        <v>0.00</v>
      </c>
      <c r="I99" s="45">
        <f>H99/'Loan Input Parameters'!$B$13</f>
        <v>0</v>
      </c>
      <c r="J99" s="45">
        <f t="shared" si="12"/>
        <v>0.1</v>
      </c>
      <c r="K99" s="76" cm="1">
        <f t="array" ref="K99">IF(
AND(MONTH($B99)=1,SUMPRODUCT(--(MONTH($B$4:B99)=1))=1),
K98*(1-22%*J99),
IF(
AND(MONTH($B99)=1,SUMPRODUCT(--(MONTH($B$4:B99)=1))=2),
K98*(1-20%*J99),
IF($A99&lt;13,K98*(1-(J99*4%)),
IF($A99&lt;25,K98*(1-(J99*5%)),K98*(1-J99/12)
)
)
))</f>
        <v>186634.0889243421</v>
      </c>
      <c r="L99" s="76">
        <f>IF(K99*'Loan Input Parameters'!$B$41&lt;'Loan Input Parameters'!$B$42,'Loan Input Parameters'!$B$42,K99*'Loan Input Parameters'!$B$41)</f>
        <v>0</v>
      </c>
      <c r="M99" s="76">
        <f t="shared" si="18"/>
        <v>186634.0889243421</v>
      </c>
      <c r="N99" s="77">
        <f t="shared" si="19"/>
        <v>-186634.0889243421</v>
      </c>
      <c r="O99" s="76">
        <f>IF('Loan Input Parameters'!$B$8*3%&lt;=4000,4000,IF('Loan Input Parameters'!$B$8*3%&gt;=18000,18000,'Loan Input Parameters'!$B$8*3%))</f>
        <v>15000</v>
      </c>
      <c r="P99" s="76">
        <f t="shared" si="14"/>
        <v>15000</v>
      </c>
    </row>
  </sheetData>
  <sheetProtection algorithmName="SHA-512" hashValue="OPrGFp96n4O0+vsizmC6dwvcFrw/h0mkX6lkyB7kQ0AabExlptnxOFNb4PAuGldMQGlsrzlUpvxuLDQwnYJqdw==" saltValue="pycPi0ukFQt5cjINIhxdOg==" spinCount="100000" sheet="1" objects="1" formatCells="0" formatColumns="0" formatRows="0" insertColumns="0" insertRows="0" insertHyperlinks="0" deleteColumns="0" deleteRows="0" sort="0" autoFilter="0" pivotTables="0"/>
  <autoFilter ref="A3:N3" xr:uid="{4F2AFEA5-268D-4972-B2B2-B406A9276F58}"/>
  <mergeCells count="1">
    <mergeCell ref="A1:N1"/>
  </mergeCells>
  <conditionalFormatting sqref="N1:N2 N4:N1048576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3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91AA-BFC4-4F55-98A2-DA9D93A6DE18}">
  <sheetPr codeName="Sheet6">
    <tabColor rgb="FF002060"/>
    <pageSetUpPr fitToPage="1"/>
  </sheetPr>
  <dimension ref="AB19"/>
  <sheetViews>
    <sheetView view="pageBreakPreview" topLeftCell="A4" zoomScale="70" zoomScaleNormal="55" zoomScaleSheetLayoutView="70" workbookViewId="0">
      <selection activeCell="W28" sqref="W28"/>
    </sheetView>
  </sheetViews>
  <sheetFormatPr defaultRowHeight="13.2" x14ac:dyDescent="0.25"/>
  <cols>
    <col min="22" max="22" width="2.44140625" customWidth="1"/>
    <col min="28" max="28" width="10.6640625" bestFit="1" customWidth="1"/>
  </cols>
  <sheetData>
    <row r="19" spans="28:28" x14ac:dyDescent="0.25">
      <c r="AB19" s="80"/>
    </row>
  </sheetData>
  <sheetProtection algorithmName="SHA-512" hashValue="fvnwnXfFKoYV4Xf+b7L9QRGyUurJwj4txHIyQ5nQfLdP6GKQ25MZsRLKJSV/KA9XNi2R9WtLG6NZ/EtviQN7Sg==" saltValue="9btXAk3nP9jdot3t8pY88g==" spinCount="100000" sheet="1" objects="1" formatCells="0" formatColumns="0" formatRows="0" insertColumns="0" insertRows="0" insertHyperlinks="0" deleteColumns="0" deleteRows="0" sort="0" autoFilter="0" pivotTables="0"/>
  <printOptions horizontalCentered="1"/>
  <pageMargins left="0.23622047244094491" right="0.23622047244094491" top="0.74803149606299213" bottom="0.74803149606299213" header="0.31496062992125984" footer="0.31496062992125984"/>
  <pageSetup paperSize="9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5FEB-BBAB-45DA-A18C-4258B50591C2}">
  <sheetPr codeName="Sheet4"/>
  <dimension ref="A1:D23"/>
  <sheetViews>
    <sheetView workbookViewId="0">
      <selection activeCell="B14" sqref="B14"/>
    </sheetView>
  </sheetViews>
  <sheetFormatPr defaultRowHeight="13.2" x14ac:dyDescent="0.25"/>
  <cols>
    <col min="1" max="1" width="17.77734375" customWidth="1"/>
    <col min="2" max="4" width="21" customWidth="1"/>
  </cols>
  <sheetData>
    <row r="1" spans="1:4" ht="15.6" x14ac:dyDescent="0.25">
      <c r="A1" s="97" t="s">
        <v>35</v>
      </c>
      <c r="B1" s="97"/>
    </row>
    <row r="2" spans="1:4" ht="14.4" thickBot="1" x14ac:dyDescent="0.3">
      <c r="A2" s="1"/>
      <c r="B2" s="61" t="s">
        <v>76</v>
      </c>
      <c r="C2" s="61" t="s">
        <v>78</v>
      </c>
      <c r="D2" s="61" t="s">
        <v>77</v>
      </c>
    </row>
    <row r="3" spans="1:4" ht="14.4" thickBot="1" x14ac:dyDescent="0.3">
      <c r="A3" s="12" t="s">
        <v>36</v>
      </c>
      <c r="B3" s="62">
        <f>'Loan Input Parameters'!B8</f>
        <v>500000</v>
      </c>
      <c r="C3" s="62">
        <f>'Loan Input Parameters'!B8</f>
        <v>500000</v>
      </c>
      <c r="D3" s="62">
        <f>'Loan Input Parameters'!B8</f>
        <v>500000</v>
      </c>
    </row>
    <row r="4" spans="1:4" ht="14.4" thickBot="1" x14ac:dyDescent="0.3">
      <c r="A4" s="12" t="s">
        <v>37</v>
      </c>
      <c r="B4" s="85">
        <v>0.23</v>
      </c>
      <c r="C4" s="85">
        <v>0.19</v>
      </c>
      <c r="D4" s="85">
        <v>0.11</v>
      </c>
    </row>
    <row r="5" spans="1:4" ht="14.4" thickBot="1" x14ac:dyDescent="0.3">
      <c r="A5" s="12" t="s">
        <v>38</v>
      </c>
      <c r="B5" s="85">
        <v>0.15</v>
      </c>
      <c r="C5" s="85">
        <v>0.15</v>
      </c>
      <c r="D5" s="85">
        <v>0.11</v>
      </c>
    </row>
    <row r="6" spans="1:4" ht="14.4" thickBot="1" x14ac:dyDescent="0.3">
      <c r="A6" s="12" t="s">
        <v>39</v>
      </c>
      <c r="B6" s="85">
        <v>0.11</v>
      </c>
      <c r="C6" s="85">
        <v>0.11</v>
      </c>
      <c r="D6" s="85">
        <v>0.1</v>
      </c>
    </row>
    <row r="7" spans="1:4" ht="14.4" thickBot="1" x14ac:dyDescent="0.3">
      <c r="A7" s="12" t="s">
        <v>40</v>
      </c>
      <c r="B7" s="85">
        <v>0.11</v>
      </c>
      <c r="C7" s="85">
        <v>0.11</v>
      </c>
      <c r="D7" s="85">
        <v>0.1</v>
      </c>
    </row>
    <row r="8" spans="1:4" ht="14.4" thickBot="1" x14ac:dyDescent="0.3">
      <c r="A8" s="12" t="s">
        <v>41</v>
      </c>
      <c r="B8" s="85">
        <v>0.11</v>
      </c>
      <c r="C8" s="85">
        <v>0.1</v>
      </c>
      <c r="D8" s="85">
        <v>0.1</v>
      </c>
    </row>
    <row r="9" spans="1:4" ht="14.4" thickBot="1" x14ac:dyDescent="0.3">
      <c r="A9" s="12" t="s">
        <v>42</v>
      </c>
      <c r="B9" s="85">
        <v>0.1</v>
      </c>
      <c r="C9" s="85">
        <v>0.09</v>
      </c>
      <c r="D9" s="85">
        <v>0.08</v>
      </c>
    </row>
    <row r="10" spans="1:4" ht="13.8" x14ac:dyDescent="0.25">
      <c r="A10" s="10"/>
      <c r="B10" s="54"/>
      <c r="C10" s="54"/>
      <c r="D10" s="54"/>
    </row>
    <row r="11" spans="1:4" ht="13.8" x14ac:dyDescent="0.25">
      <c r="A11" s="98" t="s">
        <v>43</v>
      </c>
      <c r="B11" s="98"/>
    </row>
    <row r="12" spans="1:4" ht="13.8" x14ac:dyDescent="0.25">
      <c r="A12" s="46"/>
      <c r="B12" s="51"/>
      <c r="C12" s="51"/>
      <c r="D12" s="51"/>
    </row>
    <row r="13" spans="1:4" ht="13.8" x14ac:dyDescent="0.25">
      <c r="A13" s="46"/>
      <c r="B13" s="52"/>
      <c r="C13" s="52"/>
      <c r="D13" s="52"/>
    </row>
    <row r="14" spans="1:4" ht="13.8" x14ac:dyDescent="0.25">
      <c r="A14" s="48"/>
      <c r="B14" s="49"/>
      <c r="C14" s="49"/>
      <c r="D14" s="49"/>
    </row>
    <row r="15" spans="1:4" ht="13.8" x14ac:dyDescent="0.25">
      <c r="A15" s="48"/>
      <c r="B15" s="50"/>
      <c r="C15" s="50"/>
      <c r="D15" s="50"/>
    </row>
    <row r="16" spans="1:4" ht="13.8" x14ac:dyDescent="0.25">
      <c r="A16" s="46"/>
      <c r="B16" s="47"/>
      <c r="C16" s="47"/>
      <c r="D16" s="47"/>
    </row>
    <row r="17" spans="1:4" ht="13.8" x14ac:dyDescent="0.25">
      <c r="A17" s="48"/>
      <c r="B17" s="49"/>
      <c r="C17" s="49"/>
      <c r="D17" s="49"/>
    </row>
    <row r="18" spans="1:4" ht="13.8" x14ac:dyDescent="0.25">
      <c r="A18" s="48"/>
      <c r="B18" s="50"/>
      <c r="C18" s="50"/>
      <c r="D18" s="50"/>
    </row>
    <row r="19" spans="1:4" ht="13.8" x14ac:dyDescent="0.25">
      <c r="A19" s="46"/>
      <c r="B19" s="47"/>
      <c r="C19" s="47"/>
      <c r="D19" s="47"/>
    </row>
    <row r="20" spans="1:4" ht="13.8" x14ac:dyDescent="0.25">
      <c r="A20" s="48"/>
      <c r="B20" s="49"/>
      <c r="C20" s="49"/>
      <c r="D20" s="49"/>
    </row>
    <row r="21" spans="1:4" ht="13.8" x14ac:dyDescent="0.25">
      <c r="A21" s="48"/>
      <c r="B21" s="50"/>
      <c r="C21" s="50"/>
      <c r="D21" s="50"/>
    </row>
    <row r="22" spans="1:4" ht="13.8" x14ac:dyDescent="0.25">
      <c r="A22" s="48"/>
      <c r="B22" s="53"/>
      <c r="C22" s="53"/>
      <c r="D22" s="53"/>
    </row>
    <row r="23" spans="1:4" ht="13.8" x14ac:dyDescent="0.25">
      <c r="A23" s="4"/>
      <c r="B23" s="7"/>
      <c r="C23" s="7"/>
      <c r="D23" s="7"/>
    </row>
  </sheetData>
  <sheetProtection algorithmName="SHA-512" hashValue="qj0sesYR1AbrzJIN/oVdL90jhfv1tLttJ4HkH3zHq6GAqhUcC50GxZAFXE9ql+TT2yk7FMzIM7BL+CcNIaRLbA==" saltValue="+xZF1UVvMnWSZsdOocOK6Q==" spinCount="100000" sheet="1" objects="1" scenarios="1"/>
  <mergeCells count="2">
    <mergeCell ref="A1:B1"/>
    <mergeCell ref="A11:B11"/>
  </mergeCells>
  <dataValidations count="4">
    <dataValidation type="date" operator="greaterThan" allowBlank="1" showInputMessage="1" showErrorMessage="1" errorTitle="Invalid Date" error="This is not a valid date - the date should be entered according to the Regional Date settings." promptTitle="Loan Start Date" prompt="Enter the date of the first loan repayment." sqref="B22" xr:uid="{BBB2238D-4D09-4010-883F-10CE7316D00D}">
      <formula1>367</formula1>
    </dataValidation>
    <dataValidation type="list" allowBlank="1" showInputMessage="1" showErrorMessage="1" promptTitle="Loan Repayment Type" prompt="Select whether the loan is repaid at the beginning (in advance) or end (in arrears) of a month." sqref="B13" xr:uid="{E23D758D-E8FE-4070-B1A2-6E6BE63DD495}">
      <formula1>"Advance,Arrears"</formula1>
    </dataValidation>
    <dataValidation type="whole" allowBlank="1" showInputMessage="1" showErrorMessage="1" errorTitle="Invalid Loan Period" error="The loan period should be an integer value between 1 and 72." promptTitle="Loan Period in Months" prompt="Enter a loan period between 1 and 72 months." sqref="B12" xr:uid="{3F4D3052-7CC8-4F64-AA14-59BDC2EBC9D0}">
      <formula1>1</formula1>
      <formula2>72</formula2>
    </dataValidation>
    <dataValidation allowBlank="1" showInputMessage="1" showErrorMessage="1" promptTitle="Is there a balloon payment?" prompt="Enter the Rand value of the balloon payment." sqref="B16" xr:uid="{4C052DB7-BDC2-4519-B288-BAA41B572729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10DB-C38E-4168-B1B7-2BE082DBD22F}">
  <sheetPr codeName="Sheet7">
    <tabColor rgb="FF0070C0"/>
  </sheetPr>
  <dimension ref="A1:AC16"/>
  <sheetViews>
    <sheetView topLeftCell="K1" zoomScale="55" zoomScaleNormal="55" workbookViewId="0">
      <pane ySplit="1" topLeftCell="A2" activePane="bottomLeft" state="frozen"/>
      <selection activeCell="O1" sqref="A1:XFD1048576"/>
      <selection pane="bottomLeft" activeCell="AA6" sqref="AA6"/>
    </sheetView>
  </sheetViews>
  <sheetFormatPr defaultColWidth="8.88671875" defaultRowHeight="14.4" x14ac:dyDescent="0.3"/>
  <cols>
    <col min="1" max="1" width="23.33203125" style="71" bestFit="1" customWidth="1"/>
    <col min="2" max="2" width="9.44140625" style="71" bestFit="1" customWidth="1"/>
    <col min="3" max="3" width="54.6640625" style="71" bestFit="1" customWidth="1"/>
    <col min="4" max="4" width="83.33203125" style="71" bestFit="1" customWidth="1"/>
    <col min="5" max="5" width="14.21875" style="71" customWidth="1"/>
    <col min="6" max="6" width="24.5546875" style="71" bestFit="1" customWidth="1"/>
    <col min="7" max="7" width="56.33203125" style="71" bestFit="1" customWidth="1"/>
    <col min="8" max="10" width="8.88671875" style="71"/>
    <col min="11" max="11" width="27.5546875" style="71" bestFit="1" customWidth="1"/>
    <col min="12" max="12" width="8.88671875" style="71"/>
    <col min="13" max="13" width="27.5546875" style="71" bestFit="1" customWidth="1"/>
    <col min="14" max="14" width="40.88671875" style="71" bestFit="1" customWidth="1"/>
    <col min="15" max="16" width="31.44140625" style="71" customWidth="1"/>
    <col min="17" max="17" width="54.6640625" style="71" bestFit="1" customWidth="1"/>
    <col min="18" max="18" width="8.88671875" style="71"/>
    <col min="19" max="19" width="55.44140625" style="71" bestFit="1" customWidth="1"/>
    <col min="20" max="26" width="8.88671875" style="71"/>
    <col min="27" max="27" width="13" style="71" bestFit="1" customWidth="1"/>
    <col min="28" max="16384" width="8.88671875" style="71"/>
  </cols>
  <sheetData>
    <row r="1" spans="1:29" ht="15" thickBot="1" x14ac:dyDescent="0.35">
      <c r="A1" s="86" t="s">
        <v>57</v>
      </c>
      <c r="B1" s="86" t="s">
        <v>58</v>
      </c>
      <c r="C1" s="86" t="s">
        <v>67</v>
      </c>
      <c r="D1" s="86" t="s">
        <v>68</v>
      </c>
      <c r="E1" s="87" t="s">
        <v>69</v>
      </c>
      <c r="F1" s="88" t="s">
        <v>70</v>
      </c>
      <c r="G1" s="89"/>
      <c r="K1" s="70" t="s">
        <v>56</v>
      </c>
      <c r="M1" s="70" t="s">
        <v>56</v>
      </c>
      <c r="N1" s="70" t="s">
        <v>57</v>
      </c>
      <c r="O1" s="70" t="s">
        <v>58</v>
      </c>
      <c r="Q1" s="70" t="s">
        <v>59</v>
      </c>
      <c r="S1" s="70" t="s">
        <v>60</v>
      </c>
      <c r="U1" s="70" t="s">
        <v>61</v>
      </c>
    </row>
    <row r="2" spans="1:29" x14ac:dyDescent="0.3">
      <c r="A2" s="89" t="s">
        <v>94</v>
      </c>
      <c r="B2" s="89" t="s">
        <v>55</v>
      </c>
      <c r="C2" s="89" t="s">
        <v>71</v>
      </c>
      <c r="D2" s="89" t="str">
        <f>A2&amp;C2</f>
        <v>TRAFICC TOP-UP (G305)Top-up</v>
      </c>
      <c r="E2" s="90">
        <v>25</v>
      </c>
      <c r="F2" s="91">
        <v>5.6999999999999998E-4</v>
      </c>
      <c r="G2" s="89" t="s">
        <v>72</v>
      </c>
      <c r="K2" s="71" t="s">
        <v>53</v>
      </c>
      <c r="M2" s="71" t="s">
        <v>53</v>
      </c>
      <c r="N2" s="78" t="s">
        <v>94</v>
      </c>
      <c r="O2" s="71" t="s">
        <v>55</v>
      </c>
      <c r="Q2" s="95" t="s">
        <v>54</v>
      </c>
      <c r="S2" s="89" t="s">
        <v>62</v>
      </c>
      <c r="U2" s="71" t="s">
        <v>63</v>
      </c>
      <c r="W2" s="72" t="s">
        <v>49</v>
      </c>
      <c r="Y2" s="73" t="s">
        <v>80</v>
      </c>
      <c r="AA2" s="71" t="str">
        <f>'Loan Input Parameters'!A3&amp;": "&amp;'Loan Input Parameters'!B3</f>
        <v>Client: Sean Van Wyk</v>
      </c>
      <c r="AC2" s="83" t="s">
        <v>89</v>
      </c>
    </row>
    <row r="3" spans="1:29" x14ac:dyDescent="0.3">
      <c r="A3" s="89" t="s">
        <v>94</v>
      </c>
      <c r="B3" s="89" t="s">
        <v>55</v>
      </c>
      <c r="C3" s="89" t="s">
        <v>101</v>
      </c>
      <c r="D3" s="89" t="str">
        <f t="shared" ref="D3:D15" si="0">A3&amp;C3</f>
        <v>TRAFICC TOP-UP (G305)Top-up With Deposit</v>
      </c>
      <c r="E3" s="92">
        <v>25</v>
      </c>
      <c r="F3" s="93">
        <v>8.9999999999999998E-4</v>
      </c>
      <c r="G3" s="89" t="str">
        <f t="shared" ref="G3:G8" si="1">G2</f>
        <v>Total Premium = 
Base Premium + (Percentage x Insured Value)</v>
      </c>
      <c r="K3" s="71" t="s">
        <v>62</v>
      </c>
      <c r="M3" s="94" t="s">
        <v>62</v>
      </c>
      <c r="N3" s="71" t="s">
        <v>107</v>
      </c>
      <c r="O3" s="71" t="s">
        <v>55</v>
      </c>
      <c r="Q3" s="95" t="s">
        <v>95</v>
      </c>
      <c r="S3" s="89" t="s">
        <v>64</v>
      </c>
      <c r="W3" s="72" t="s">
        <v>50</v>
      </c>
      <c r="Y3" s="73" t="s">
        <v>81</v>
      </c>
      <c r="AA3" s="71" t="str">
        <f>'Loan Input Parameters'!A4&amp;": "&amp;'Loan Input Parameters'!B4</f>
        <v>Transaction number: ZAETC123456789</v>
      </c>
      <c r="AC3" s="83" t="s">
        <v>90</v>
      </c>
    </row>
    <row r="4" spans="1:29" x14ac:dyDescent="0.3">
      <c r="A4" s="89" t="s">
        <v>94</v>
      </c>
      <c r="B4" s="89" t="s">
        <v>55</v>
      </c>
      <c r="C4" s="89" t="s">
        <v>102</v>
      </c>
      <c r="D4" s="89" t="str">
        <f t="shared" si="0"/>
        <v>TRAFICC TOP-UP (G305)Top-up With Excess Protector</v>
      </c>
      <c r="E4" s="92">
        <v>25</v>
      </c>
      <c r="F4" s="93">
        <v>9.3000000000000005E-4</v>
      </c>
      <c r="G4" s="89" t="str">
        <f t="shared" si="1"/>
        <v>Total Premium = 
Base Premium + (Percentage x Insured Value)</v>
      </c>
      <c r="N4" s="95" t="s">
        <v>113</v>
      </c>
      <c r="O4" s="71" t="s">
        <v>55</v>
      </c>
      <c r="Q4" s="78" t="s">
        <v>96</v>
      </c>
      <c r="S4" s="89" t="s">
        <v>112</v>
      </c>
      <c r="W4" s="84" t="s">
        <v>91</v>
      </c>
      <c r="AA4" s="71" t="str">
        <f>'Loan Input Parameters'!$A$30&amp;": "&amp;"R "&amp;ROUND(VALUE('Loan Input Parameters'!B30),2)</f>
        <v>Monthly Premium: R 310</v>
      </c>
    </row>
    <row r="5" spans="1:29" x14ac:dyDescent="0.3">
      <c r="A5" s="89" t="s">
        <v>94</v>
      </c>
      <c r="B5" s="89" t="s">
        <v>55</v>
      </c>
      <c r="C5" s="89" t="s">
        <v>73</v>
      </c>
      <c r="D5" s="89" t="str">
        <f t="shared" si="0"/>
        <v>TRAFICC TOP-UP (G305)Top-up With Excess Protector And Instalment Protector</v>
      </c>
      <c r="E5" s="92">
        <v>25</v>
      </c>
      <c r="F5" s="93">
        <v>1.1100000000000001E-3</v>
      </c>
      <c r="G5" s="89" t="str">
        <f t="shared" si="1"/>
        <v>Total Premium = 
Base Premium + (Percentage x Insured Value)</v>
      </c>
      <c r="Q5" s="71" t="s">
        <v>65</v>
      </c>
      <c r="S5" s="89" t="s">
        <v>66</v>
      </c>
      <c r="AA5" s="81">
        <f ca="1">TODAY()</f>
        <v>46161</v>
      </c>
    </row>
    <row r="6" spans="1:29" x14ac:dyDescent="0.3">
      <c r="A6" s="89" t="s">
        <v>94</v>
      </c>
      <c r="B6" s="89" t="s">
        <v>55</v>
      </c>
      <c r="C6" s="89" t="s">
        <v>103</v>
      </c>
      <c r="D6" s="89" t="str">
        <f t="shared" si="0"/>
        <v>TRAFICC TOP-UP (G305)Top-up With Excess And Deposit Protector</v>
      </c>
      <c r="E6" s="92">
        <v>25</v>
      </c>
      <c r="F6" s="93">
        <v>1.2600000000000001E-3</v>
      </c>
      <c r="G6" s="89" t="str">
        <f t="shared" si="1"/>
        <v>Total Premium = 
Base Premium + (Percentage x Insured Value)</v>
      </c>
      <c r="Q6" s="71" t="s">
        <v>97</v>
      </c>
    </row>
    <row r="7" spans="1:29" x14ac:dyDescent="0.3">
      <c r="A7" s="89" t="s">
        <v>94</v>
      </c>
      <c r="B7" s="89" t="s">
        <v>55</v>
      </c>
      <c r="C7" s="89" t="s">
        <v>104</v>
      </c>
      <c r="D7" s="89" t="str">
        <f t="shared" si="0"/>
        <v>TRAFICC TOP-UP (G305)Top-up With Excess, Instalment Protector And Deposit Protector</v>
      </c>
      <c r="E7" s="92">
        <v>25</v>
      </c>
      <c r="F7" s="93">
        <v>1.4400000000000001E-3</v>
      </c>
      <c r="G7" s="89" t="str">
        <f t="shared" si="1"/>
        <v>Total Premium = 
Base Premium + (Percentage x Insured Value)</v>
      </c>
      <c r="Q7" s="71" t="s">
        <v>98</v>
      </c>
    </row>
    <row r="8" spans="1:29" x14ac:dyDescent="0.3">
      <c r="A8" s="89" t="s">
        <v>94</v>
      </c>
      <c r="B8" s="89" t="s">
        <v>55</v>
      </c>
      <c r="C8" s="89" t="s">
        <v>105</v>
      </c>
      <c r="D8" s="89" t="str">
        <f t="shared" si="0"/>
        <v>TRAFICC TOP-UP (G305)Top-up With Instalment Protector</v>
      </c>
      <c r="E8" s="92">
        <v>25</v>
      </c>
      <c r="F8" s="93">
        <v>7.5000000000000002E-4</v>
      </c>
      <c r="G8" s="89" t="str">
        <f t="shared" si="1"/>
        <v>Total Premium = 
Base Premium + (Percentage x Insured Value)</v>
      </c>
      <c r="Q8" s="71" t="s">
        <v>99</v>
      </c>
    </row>
    <row r="9" spans="1:29" ht="15" thickBot="1" x14ac:dyDescent="0.35">
      <c r="A9" s="89" t="s">
        <v>94</v>
      </c>
      <c r="B9" s="89" t="s">
        <v>55</v>
      </c>
      <c r="C9" s="89" t="s">
        <v>106</v>
      </c>
      <c r="D9" s="89" t="str">
        <f t="shared" si="0"/>
        <v>TRAFICC TOP-UP (G305)Top-up With Instalment Protector And Deposit Protector</v>
      </c>
      <c r="E9" s="92">
        <v>25</v>
      </c>
      <c r="F9" s="93">
        <v>1.08E-3</v>
      </c>
      <c r="G9" s="89" t="str">
        <f>G4</f>
        <v>Total Premium = 
Base Premium + (Percentage x Insured Value)</v>
      </c>
    </row>
    <row r="10" spans="1:29" x14ac:dyDescent="0.3">
      <c r="A10" s="89" t="s">
        <v>107</v>
      </c>
      <c r="B10" s="89" t="s">
        <v>55</v>
      </c>
      <c r="C10" s="89" t="s">
        <v>108</v>
      </c>
      <c r="D10" s="89" t="str">
        <f t="shared" si="0"/>
        <v>TRAFICC RETURN TO INVOICE (G305)Return To Invoice</v>
      </c>
      <c r="E10" s="90">
        <v>25</v>
      </c>
      <c r="F10" s="91">
        <v>1.15E-3</v>
      </c>
      <c r="G10" s="89" t="s">
        <v>72</v>
      </c>
    </row>
    <row r="11" spans="1:29" x14ac:dyDescent="0.3">
      <c r="A11" s="89" t="s">
        <v>107</v>
      </c>
      <c r="B11" s="89" t="s">
        <v>55</v>
      </c>
      <c r="C11" s="89" t="s">
        <v>109</v>
      </c>
      <c r="D11" s="89" t="str">
        <f t="shared" si="0"/>
        <v>TRAFICC RETURN TO INVOICE (G305)Return To Invoice with Excess Protector</v>
      </c>
      <c r="E11" s="92">
        <v>25</v>
      </c>
      <c r="F11" s="93">
        <v>1.5100000000000001E-3</v>
      </c>
      <c r="G11" s="89" t="str">
        <f>G10</f>
        <v>Total Premium = 
Base Premium + (Percentage x Insured Value)</v>
      </c>
    </row>
    <row r="12" spans="1:29" x14ac:dyDescent="0.3">
      <c r="A12" s="89" t="s">
        <v>107</v>
      </c>
      <c r="B12" s="89" t="s">
        <v>55</v>
      </c>
      <c r="C12" s="89" t="s">
        <v>110</v>
      </c>
      <c r="D12" s="89" t="str">
        <f t="shared" si="0"/>
        <v>TRAFICC RETURN TO INVOICE (G305)Return To Invoice with Excess Protector And Instalment Protector</v>
      </c>
      <c r="E12" s="92">
        <v>25</v>
      </c>
      <c r="F12" s="93">
        <v>1.6900000000000001E-3</v>
      </c>
      <c r="G12" s="89" t="str">
        <f>G11</f>
        <v>Total Premium = 
Base Premium + (Percentage x Insured Value)</v>
      </c>
    </row>
    <row r="13" spans="1:29" x14ac:dyDescent="0.3">
      <c r="A13" s="89" t="s">
        <v>107</v>
      </c>
      <c r="B13" s="89" t="s">
        <v>55</v>
      </c>
      <c r="C13" s="89" t="s">
        <v>111</v>
      </c>
      <c r="D13" s="89" t="str">
        <f t="shared" si="0"/>
        <v>TRAFICC RETURN TO INVOICE (G305)Return To Invoice with Instalment Protector</v>
      </c>
      <c r="E13" s="92">
        <v>25</v>
      </c>
      <c r="F13" s="93">
        <v>1.33E-3</v>
      </c>
      <c r="G13" s="89" t="str">
        <f>G9</f>
        <v>Total Premium = 
Base Premium + (Percentage x Insured Value)</v>
      </c>
      <c r="Q13" s="71" t="s">
        <v>100</v>
      </c>
    </row>
    <row r="14" spans="1:29" x14ac:dyDescent="0.3">
      <c r="A14" s="89" t="s">
        <v>113</v>
      </c>
      <c r="B14" s="89" t="s">
        <v>55</v>
      </c>
      <c r="C14" s="89" t="s">
        <v>71</v>
      </c>
      <c r="D14" s="89" t="str">
        <f t="shared" si="0"/>
        <v>TRAFICC TAXI OWNERS TOP-UP (G305T)Top-up</v>
      </c>
      <c r="E14" s="92">
        <v>25</v>
      </c>
      <c r="F14" s="93">
        <v>1.3500000000000001E-3</v>
      </c>
      <c r="G14" s="89" t="str">
        <f t="shared" ref="G14:G15" si="2">G10</f>
        <v>Total Premium = 
Base Premium + (Percentage x Insured Value)</v>
      </c>
    </row>
    <row r="15" spans="1:29" x14ac:dyDescent="0.3">
      <c r="A15" s="89" t="s">
        <v>113</v>
      </c>
      <c r="B15" s="89" t="s">
        <v>55</v>
      </c>
      <c r="C15" s="89" t="s">
        <v>101</v>
      </c>
      <c r="D15" s="89" t="str">
        <f t="shared" si="0"/>
        <v>TRAFICC TAXI OWNERS TOP-UP (G305T)Top-up With Deposit</v>
      </c>
      <c r="E15" s="92">
        <v>25</v>
      </c>
      <c r="F15" s="93">
        <v>1.75E-3</v>
      </c>
      <c r="G15" s="89" t="str">
        <f t="shared" si="2"/>
        <v>Total Premium = 
Base Premium + (Percentage x Insured Value)</v>
      </c>
    </row>
    <row r="16" spans="1:29" x14ac:dyDescent="0.3">
      <c r="A16" s="89"/>
      <c r="B16" s="89"/>
      <c r="C16" s="89"/>
      <c r="D16" s="89"/>
      <c r="E16" s="92"/>
      <c r="F16" s="93"/>
      <c r="G16" s="89"/>
    </row>
  </sheetData>
  <sheetProtection algorithmName="SHA-512" hashValue="4nCzkLfL+BOYf0V4eHOozg/Sil3fma/pdCx8Sxf421l16jYz8sLtfZVvGlSdc1efZIPAyoPyvxWKzu4iAmizNQ==" saltValue="quX6CPjyvln5SVbWmxEw1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26E3B68E4F3F4299845028241B90E6" ma:contentTypeVersion="10" ma:contentTypeDescription="Create a new document." ma:contentTypeScope="" ma:versionID="4655b2ce5f9d4eca1a5cbd2bb1b1611c">
  <xsd:schema xmlns:xsd="http://www.w3.org/2001/XMLSchema" xmlns:xs="http://www.w3.org/2001/XMLSchema" xmlns:p="http://schemas.microsoft.com/office/2006/metadata/properties" xmlns:ns3="68930c1f-f631-4728-9106-2885aec92001" targetNamespace="http://schemas.microsoft.com/office/2006/metadata/properties" ma:root="true" ma:fieldsID="69365130e0734fbcd90ad11890755704" ns3:_="">
    <xsd:import namespace="68930c1f-f631-4728-9106-2885aec920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30c1f-f631-4728-9106-2885aec920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930c1f-f631-4728-9106-2885aec92001" xsi:nil="true"/>
  </documentManagement>
</p:properties>
</file>

<file path=customXml/itemProps1.xml><?xml version="1.0" encoding="utf-8"?>
<ds:datastoreItem xmlns:ds="http://schemas.openxmlformats.org/officeDocument/2006/customXml" ds:itemID="{F57E7A6A-9C0B-400F-9F00-F16AB6DE1F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E91B0B-41D2-4364-9B18-C1EA5E5BA9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30c1f-f631-4728-9106-2885aec920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C21659-D4CE-474D-97A9-E5EEA9FBD0E0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8930c1f-f631-4728-9106-2885aec9200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Loan Input Parameters</vt:lpstr>
      <vt:lpstr>Loan Payment Schedule</vt:lpstr>
      <vt:lpstr>Loan Payment Summary</vt:lpstr>
      <vt:lpstr>Shortfall Illustration</vt:lpstr>
      <vt:lpstr>Shortfall Graph</vt:lpstr>
      <vt:lpstr>Depreciation Parameters</vt:lpstr>
      <vt:lpstr>template</vt:lpstr>
      <vt:lpstr>'Shortfall Graph'!Print_Area</vt:lpstr>
    </vt:vector>
  </TitlesOfParts>
  <Company>Excel Skills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Loan Amortization Template - Excel Skills</dc:title>
  <dc:subject>Loans</dc:subject>
  <dc:creator>Jake Solomon</dc:creator>
  <cp:keywords>loan amortization, amortization excel, amortisation table</cp:keywords>
  <cp:lastModifiedBy>Gary Newton</cp:lastModifiedBy>
  <cp:lastPrinted>2023-11-14T06:37:04Z</cp:lastPrinted>
  <dcterms:created xsi:type="dcterms:W3CDTF">2009-04-24T13:49:41Z</dcterms:created>
  <dcterms:modified xsi:type="dcterms:W3CDTF">2026-05-19T10:24:37Z</dcterms:modified>
  <cp:category>Excel 2003+</cp:category>
  <cp:contentStatus>Version 1.0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0x0101000426E3B68E4F3F4299845028241B90E6</vt:lpwstr>
  </property>
</Properties>
</file>